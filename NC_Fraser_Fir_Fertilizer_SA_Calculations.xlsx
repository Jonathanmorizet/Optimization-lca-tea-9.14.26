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Scenario Inputs" sheetId="3" state="visible" r:id="rId5"/>
    <sheet name="Direct Emissions" sheetId="4" state="visible" r:id="rId6"/>
    <sheet name="Upstream openLCA" sheetId="5" state="visible" r:id="rId7"/>
    <sheet name="Results per Tree" sheetId="6" state="visible" r:id="rId8"/>
    <sheet name="Percent of Baseline" sheetId="7" state="visible" r:id="rId9"/>
    <sheet name="Ecoinvent Datasets" sheetId="8" state="visible" r:id="rId10"/>
    <sheet name="Equations" sheetId="9" state="visible" r:id="rId11"/>
    <sheet name="Referen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<sst xmlns="http://schemas.openxmlformats.org/spreadsheetml/2006/main" count="399" uniqueCount="222">
  <si>
    <t xml:space="preserve">NC Fraser Fir Fertilizer Sensitivity Analysis</t>
  </si>
  <si>
    <t xml:space="preserve">Purpose</t>
  </si>
  <si>
    <t xml:space="preserve">Compares six fertilizer scenarios for NC Fraser fir on upstream (ecoinvent/openLCA) and direct field (IPCC 2019) emissions, normalized to one marketable tree.</t>
  </si>
  <si>
    <t xml:space="preserve">Functional unit</t>
  </si>
  <si>
    <t xml:space="preserve">One marketable 7-ft Fraser fir. Plantation output 1,900 trees/acre; cultivation allocation to trees 0.893 (remainder to wreath greenery).</t>
  </si>
  <si>
    <t xml:space="preserve">Cell colours</t>
  </si>
  <si>
    <t xml:space="preserve">BLUE = input you may edit. BLACK = formula, do not overwrite. GREEN = link to another sheet. YELLOW fill = key assumption.</t>
  </si>
  <si>
    <t xml:space="preserve">Upstream vs direct</t>
  </si>
  <si>
    <t xml:space="preserve">Upstream = ecoinvent cradle-to-gate production, from openLCA. Direct = field emissions from IPCC Ch.11 equations. They are additive and must not be double counted.</t>
  </si>
  <si>
    <t xml:space="preserve">Why direct matters</t>
  </si>
  <si>
    <t xml:space="preserve">Direct emissions are ~46% of fertilizer GWP. On acidification they dominate: field NH3 is roughly five times upstream.</t>
  </si>
  <si>
    <t xml:space="preserve">Diesel excluded</t>
  </si>
  <si>
    <t xml:space="preserve">Deliberate. The ecoinvent "diesel, burned in agricultural machinery" activity already includes tailpipe emissions, so adding an IPCC combustion layer would double count.</t>
  </si>
  <si>
    <t xml:space="preserve">EF1 treatment</t>
  </si>
  <si>
    <t xml:space="preserve">Table 11.1 footnote 5: the synthetic factor (0.016 wet) applies to synthetic AND mixed synthetic-organic applications. The 0.006 organic factor applies only to exclusively organic applications, and is not used by any scenario here.</t>
  </si>
  <si>
    <t xml:space="preserve">Total N is not equal</t>
  </si>
  <si>
    <t xml:space="preserve">Poultry litter is 50% plant-available, so replacing a given amount of available N needs twice that in total N. IPCC applies EF1 to TOTAL N, so organic scenarios carry ~25% and ~50% more total nitrogen than baseline. The scenarios are NOT iso-nitrogen.</t>
  </si>
  <si>
    <t xml:space="preserve">Frac_GASF caveat</t>
  </si>
  <si>
    <t xml:space="preserve">This workbook uses the 0.11 aggregate per the specification. Table 11.3 disaggregates by chemistry, and Table 7A.2 treats NPK compounds as ammonium-nitrate-based, i.e. 0.05. See the Assumptions sheet; the choice roughly halves acidification.</t>
  </si>
  <si>
    <t xml:space="preserve">N2O GWP</t>
  </si>
  <si>
    <t xml:space="preserve">298 (AR4), consistent with TRACI 2.1. Do not switch to AR6 without re-characterizing the whole LCA.</t>
  </si>
  <si>
    <t xml:space="preserve">Stock not removal</t>
  </si>
  <si>
    <t xml:space="preserve">Any biogenic carbon figure is a stock at harvest, not a durable removal.</t>
  </si>
  <si>
    <t xml:space="preserve">Assumptions and input parameters</t>
  </si>
  <si>
    <t xml:space="preserve">Parameter</t>
  </si>
  <si>
    <t xml:space="preserve">Value</t>
  </si>
  <si>
    <t xml:space="preserve">Unit</t>
  </si>
  <si>
    <t xml:space="preserve">Source / note</t>
  </si>
  <si>
    <t xml:space="preserve">Marketable trees per acre</t>
  </si>
  <si>
    <t xml:space="preserve">trees</t>
  </si>
  <si>
    <t xml:space="preserve">Manuscript, baseline 88.5% survival from 2,150 planted</t>
  </si>
  <si>
    <t xml:space="preserve">Cultivation allocation to trees</t>
  </si>
  <si>
    <t xml:space="preserve">fraction</t>
  </si>
  <si>
    <t xml:space="preserve">Above-ground wet-mass allocation; 0.107 to wreath</t>
  </si>
  <si>
    <t xml:space="preserve">Baseline fertilizer rate</t>
  </si>
  <si>
    <t xml:space="preserve">lb/acre</t>
  </si>
  <si>
    <t xml:space="preserve">19-19-19, enterprise budget</t>
  </si>
  <si>
    <t xml:space="preserve">Converted product mass</t>
  </si>
  <si>
    <t xml:space="preserve">kg/acre</t>
  </si>
  <si>
    <t xml:space="preserve">4210.56 lb / 2.20462</t>
  </si>
  <si>
    <t xml:space="preserve">Baseline nitrogen</t>
  </si>
  <si>
    <t xml:space="preserve">kg N/acre</t>
  </si>
  <si>
    <t xml:space="preserve">19% N of 1,909.88 kg</t>
  </si>
  <si>
    <t xml:space="preserve">Ecoinvent proxy equivalent</t>
  </si>
  <si>
    <t xml:space="preserve">NPK 15-15-15 proxy supplying the same N</t>
  </si>
  <si>
    <t xml:space="preserve">EF1 synthetic and mixed (wet)</t>
  </si>
  <si>
    <t xml:space="preserve">kg N2O-N/kg N</t>
  </si>
  <si>
    <t xml:space="preserve">IPCC 2019 Table 11.1, footnote 5</t>
  </si>
  <si>
    <t xml:space="preserve">EF1 exclusively organic (wet)</t>
  </si>
  <si>
    <t xml:space="preserve">Table 11.1 footnote 6. NOT used: no scenario is exclusively organic</t>
  </si>
  <si>
    <t xml:space="preserve">Frac_GASF</t>
  </si>
  <si>
    <t xml:space="preserve">Table 11.3 aggregate. Disaggregated: urea 0.15, ammonium 0.08, AN-based 0.05, nitrate 0.01</t>
  </si>
  <si>
    <t xml:space="preserve">Frac_GASM</t>
  </si>
  <si>
    <t xml:space="preserve">Table 11.3, organic amendments</t>
  </si>
  <si>
    <t xml:space="preserve">EF4 (wet)</t>
  </si>
  <si>
    <t xml:space="preserve">Table 11.3, volatilisation and redeposition</t>
  </si>
  <si>
    <t xml:space="preserve">Frac_LEACH-(H)</t>
  </si>
  <si>
    <t xml:space="preserve">Table 11.3, wet climates</t>
  </si>
  <si>
    <t xml:space="preserve">EF5</t>
  </si>
  <si>
    <t xml:space="preserve">Table 11.3, leaching and runoff</t>
  </si>
  <si>
    <t xml:space="preserve">N2O-N to N2O</t>
  </si>
  <si>
    <t xml:space="preserve">ratio</t>
  </si>
  <si>
    <t xml:space="preserve">Stoichiometric</t>
  </si>
  <si>
    <t xml:space="preserve">NH3-N to NH3</t>
  </si>
  <si>
    <t xml:space="preserve">NO3-N to NO3</t>
  </si>
  <si>
    <t xml:space="preserve">GWP of N2O</t>
  </si>
  <si>
    <t xml:space="preserve">kg CO2-eq/kg</t>
  </si>
  <si>
    <t xml:space="preserve">AR4, as used by TRACI 2.1</t>
  </si>
  <si>
    <t xml:space="preserve">Poultry litter total N</t>
  </si>
  <si>
    <t xml:space="preserve">lb N/short ton</t>
  </si>
  <si>
    <t xml:space="preserve">NC State Extension</t>
  </si>
  <si>
    <t xml:space="preserve">Broadcast plant-available fraction</t>
  </si>
  <si>
    <t xml:space="preserve">Plant-available N</t>
  </si>
  <si>
    <t xml:space="preserve">lb PAN/short ton</t>
  </si>
  <si>
    <t xml:space="preserve">57.8 lb x 0.50 availability</t>
  </si>
  <si>
    <t xml:space="preserve">Wood chips applied</t>
  </si>
  <si>
    <t xml:space="preserve">kg dry/tree</t>
  </si>
  <si>
    <t xml:space="preserve">Cregg et al. 2009 mulch treatment</t>
  </si>
  <si>
    <t xml:space="preserve">Scenario definitions</t>
  </si>
  <si>
    <t xml:space="preserve">Scenario</t>
  </si>
  <si>
    <t xml:space="preserve">Synthetic NPK 15-15-15 (kg)</t>
  </si>
  <si>
    <t xml:space="preserve">Poultry litter fresh (kg)</t>
  </si>
  <si>
    <t xml:space="preserve">Wood chips dry (kg/tree)</t>
  </si>
  <si>
    <t xml:space="preserve">Synthetic N (kg)</t>
  </si>
  <si>
    <t xml:space="preserve">Organic total N (kg)</t>
  </si>
  <si>
    <t xml:space="preserve">f_org (PAN replaced)</t>
  </si>
  <si>
    <t xml:space="preserve">Baseline 100% synthetic</t>
  </si>
  <si>
    <t xml:space="preserve">25% synthetic reduction</t>
  </si>
  <si>
    <t xml:space="preserve">50% synthetic reduction</t>
  </si>
  <si>
    <t xml:space="preserve">75% synthetic + 25% organic</t>
  </si>
  <si>
    <t xml:space="preserve">50% synthetic + 50% organic</t>
  </si>
  <si>
    <t xml:space="preserve">Wood-chip mulch only</t>
  </si>
  <si>
    <t xml:space="preserve">N-equivalence check: M_litter = f_org x 362.88 kg PAN x 2.20462 / 28.9 lb PAN per short ton, converted to kg</t>
  </si>
  <si>
    <t xml:space="preserve">Column F uses TOTAL litter N (2x the PAN replaced, since availability is 50%). IPCC applies EF1 to total N.</t>
  </si>
  <si>
    <t xml:space="preserve">Scenarios are NOT iso-nitrogen: organic cases carry ~25% and ~50% more total N than baseline.</t>
  </si>
  <si>
    <t xml:space="preserve">Direct field emissions per tree (IPCC 2019 Ch.11 Tier 1)</t>
  </si>
  <si>
    <t xml:space="preserve">F_SN (kg N/tree)</t>
  </si>
  <si>
    <t xml:space="preserve">F_ON (kg N/tree)</t>
  </si>
  <si>
    <t xml:space="preserve">NH3 to air (kg)</t>
  </si>
  <si>
    <t xml:space="preserve">Nitrate to GW (kg)</t>
  </si>
  <si>
    <t xml:space="preserve">N2O direct (kg)</t>
  </si>
  <si>
    <t xml:space="preserve">N2O atmos. dep. (kg)</t>
  </si>
  <si>
    <t xml:space="preserve">N2O leaching (kg)</t>
  </si>
  <si>
    <t xml:space="preserve">N2O total (kg)</t>
  </si>
  <si>
    <t xml:space="preserve">GWP (kg CO2-eq)</t>
  </si>
  <si>
    <t xml:space="preserve">EF1 = 0.016 for every scenario: all are synthetic or mixed. Table 11.1 footnote 5.</t>
  </si>
  <si>
    <t xml:space="preserve">TRACI characterization of these flows: NH3 acidification 1.880158 kg SO2-eq/kg, NH3 PM2.5 0.0667252, nitrate eutrophication 0.251614 kg N-eq/kg, nitrate ecotoxicity 0.00689579 CTUe/kg.</t>
  </si>
  <si>
    <t xml:space="preserve">No direct field contribution is assigned to human toxicity, ozone depletion or photochemical oxidant formation.</t>
  </si>
  <si>
    <t xml:space="preserve">Upstream openLCA results per 1,900 trees (as exported)</t>
  </si>
  <si>
    <t xml:space="preserve">Category</t>
  </si>
  <si>
    <t xml:space="preserve">Wood chips per kg dry</t>
  </si>
  <si>
    <t xml:space="preserve">Acidification</t>
  </si>
  <si>
    <t xml:space="preserve">kg SO2-eq</t>
  </si>
  <si>
    <t xml:space="preserve">Climate change</t>
  </si>
  <si>
    <t xml:space="preserve">kg CO2-eq</t>
  </si>
  <si>
    <t xml:space="preserve">Freshwater ecotoxicity</t>
  </si>
  <si>
    <t xml:space="preserve">CTUe</t>
  </si>
  <si>
    <t xml:space="preserve">Eutrophication</t>
  </si>
  <si>
    <t xml:space="preserve">kg N-eq</t>
  </si>
  <si>
    <t xml:space="preserve">Human toxicity carcinogenic</t>
  </si>
  <si>
    <t xml:space="preserve">CTUh</t>
  </si>
  <si>
    <t xml:space="preserve">Human toxicity non-carcinogenic</t>
  </si>
  <si>
    <t xml:space="preserve">Ozone depletion</t>
  </si>
  <si>
    <t xml:space="preserve">kg CFC-11-eq</t>
  </si>
  <si>
    <t xml:space="preserve">Particulate matter</t>
  </si>
  <si>
    <t xml:space="preserve">kg PM2.5-eq</t>
  </si>
  <si>
    <t xml:space="preserve">Photochemical oxidants</t>
  </si>
  <si>
    <t xml:space="preserve">kg O3-eq</t>
  </si>
  <si>
    <t xml:space="preserve">Columns C-G are openLCA exports (edit only to replace with a new run). Column H is calculated from the wood-chip factor in column I.</t>
  </si>
  <si>
    <t xml:space="preserve">Organic upstream values use 6,278 and 12,556 kg fresh poultry litter. The earlier equal-mass substitutions of 604.75 and 1,209.50 kg are superseded and must not be used.</t>
  </si>
  <si>
    <t xml:space="preserve">Wood chips: market for wood chips green measured as dry mass, RoW, Cutoff, ecoinvent 3.12, dataset 9421.</t>
  </si>
  <si>
    <t xml:space="preserve">Total impact per tree: upstream + direct</t>
  </si>
  <si>
    <t xml:space="preserve">UPSTREAM per tree</t>
  </si>
  <si>
    <t xml:space="preserve">DIRECT per tree</t>
  </si>
  <si>
    <t xml:space="preserve">TOTAL per tree</t>
  </si>
  <si>
    <t xml:space="preserve">Direct rows are zero for human toxicity, ozone depletion and photochemical oxidants: the N flows modelled here do not contribute to those categories.</t>
  </si>
  <si>
    <t xml:space="preserve">Diesel is absent by design. Its ecoinvent activity already includes combustion, so a direct layer would double count.</t>
  </si>
  <si>
    <t xml:space="preserve">Results as percent of the fertilizer baseline</t>
  </si>
  <si>
    <t xml:space="preserve">TOTAL as % of baseline</t>
  </si>
  <si>
    <t xml:space="preserve">UPSTREAM as % of baseline</t>
  </si>
  <si>
    <t xml:space="preserve">DIRECT as % of baseline</t>
  </si>
  <si>
    <t xml:space="preserve">Denominator is the baseline column for the same row and block. Zero baselines are guarded with IFERROR.</t>
  </si>
  <si>
    <t xml:space="preserve">Background datasets and LCIA method</t>
  </si>
  <si>
    <t xml:space="preserve">Item</t>
  </si>
  <si>
    <t xml:space="preserve">Dataset / activity</t>
  </si>
  <si>
    <t xml:space="preserve">Geography</t>
  </si>
  <si>
    <t xml:space="preserve">System model</t>
  </si>
  <si>
    <t xml:space="preserve">Version</t>
  </si>
  <si>
    <t xml:space="preserve">Note</t>
  </si>
  <si>
    <t xml:space="preserve">Synthetic fertilizer</t>
  </si>
  <si>
    <t xml:space="preserve">market for NPK (15-15-15) fertilizer</t>
  </si>
  <si>
    <t xml:space="preserve">Use the exact provider and geography recorded in the openLCA model</t>
  </si>
  <si>
    <t xml:space="preserve">Poultry litter</t>
  </si>
  <si>
    <t xml:space="preserve">poultry manure, fresh</t>
  </si>
  <si>
    <t xml:space="preserve">Cutoff</t>
  </si>
  <si>
    <t xml:space="preserve">Recycled-content / cutoff category as used in the openLCA model</t>
  </si>
  <si>
    <t xml:space="preserve">Wood chips</t>
  </si>
  <si>
    <t xml:space="preserve">market for wood chips, green, measured as dry mass</t>
  </si>
  <si>
    <t xml:space="preserve">RoW</t>
  </si>
  <si>
    <t xml:space="preserve">3.12</t>
  </si>
  <si>
    <t xml:space="preserve">Dataset 9421</t>
  </si>
  <si>
    <t xml:space="preserve">LCIA method</t>
  </si>
  <si>
    <t xml:space="preserve">TRACI v2.1</t>
  </si>
  <si>
    <t xml:space="preserve">Climate change characterised on AR4 GWP</t>
  </si>
  <si>
    <t xml:space="preserve">Diesel (for reference)</t>
  </si>
  <si>
    <t xml:space="preserve">diesel, burned in agricultural machinery</t>
  </si>
  <si>
    <t xml:space="preserve">NOT used here. Already includes combustion; a direct layer would double count</t>
  </si>
  <si>
    <t xml:space="preserve">Licensing: ecoinvent data is licensed. Do not redistribute per-unit inventory values. Aggregated LCIA results are the shareable form; confirm in writing with ecoinvent before publishing a machine-readable factor table.</t>
  </si>
  <si>
    <t xml:space="preserve">Equations used</t>
  </si>
  <si>
    <t xml:space="preserve">Quantity</t>
  </si>
  <si>
    <t xml:space="preserve">Equation</t>
  </si>
  <si>
    <t xml:space="preserve">Source</t>
  </si>
  <si>
    <t xml:space="preserve">Litter mass for N-equivalence</t>
  </si>
  <si>
    <t xml:space="preserve">M_litter = f_org x 362.88 kg PAN x 2.20462 lb/kg / 28.9 lb PAN per short ton, converted short tons to kg</t>
  </si>
  <si>
    <t xml:space="preserve">NC State Extension litter analysis</t>
  </si>
  <si>
    <t xml:space="preserve">Synthetic N per tree</t>
  </si>
  <si>
    <t xml:space="preserve">F_SN = synthetic N applied x 0.893 / 1,900</t>
  </si>
  <si>
    <t xml:space="preserve">Allocation and functional unit</t>
  </si>
  <si>
    <t xml:space="preserve">Organic N per tree</t>
  </si>
  <si>
    <t xml:space="preserve">F_ON = total organic N applied x 0.893 / 1,900; total organic N is 2x the PAN replaced</t>
  </si>
  <si>
    <t xml:space="preserve">IPCC Ch.11: EF1 applies to total N</t>
  </si>
  <si>
    <t xml:space="preserve">Direct N2O</t>
  </si>
  <si>
    <t xml:space="preserve">N2O_direct = (F_SN + F_ON) x EF1 x 44/28</t>
  </si>
  <si>
    <t xml:space="preserve">IPCC Eq. 11.1</t>
  </si>
  <si>
    <t xml:space="preserve">N2O from deposition</t>
  </si>
  <si>
    <t xml:space="preserve">N2O_ATD = (F_SN x Frac_GASF + F_ON x Frac_GASM) x EF4 x 44/28</t>
  </si>
  <si>
    <t xml:space="preserve">IPCC Eq. 11.9</t>
  </si>
  <si>
    <t xml:space="preserve">N2O from leaching</t>
  </si>
  <si>
    <t xml:space="preserve">N2O_L = (F_SN + F_ON) x Frac_LEACH x EF5 x 44/28</t>
  </si>
  <si>
    <t xml:space="preserve">IPCC Eq. 11.10</t>
  </si>
  <si>
    <t xml:space="preserve">Total N2O</t>
  </si>
  <si>
    <t xml:space="preserve">N2O_total = N2O_direct + N2O_ATD + N2O_L</t>
  </si>
  <si>
    <t xml:space="preserve">IPCC Ch.11</t>
  </si>
  <si>
    <t xml:space="preserve">Direct GWP</t>
  </si>
  <si>
    <t xml:space="preserve">GWP_direct = N2O_total x 298</t>
  </si>
  <si>
    <t xml:space="preserve">TRACI 2.1 / AR4</t>
  </si>
  <si>
    <t xml:space="preserve">Ammonia to air</t>
  </si>
  <si>
    <t xml:space="preserve">NH3 = (F_SN x Frac_GASF + F_ON x Frac_GASM) x 17/14</t>
  </si>
  <si>
    <t xml:space="preserve">Stoichiometry on volatilised N</t>
  </si>
  <si>
    <t xml:space="preserve">Nitrate to groundwater</t>
  </si>
  <si>
    <t xml:space="preserve">NO3 = (F_SN + F_ON) x Frac_LEACH x 62/14</t>
  </si>
  <si>
    <t xml:space="preserve">Stoichiometry on leached N</t>
  </si>
  <si>
    <t xml:space="preserve">Wood chip impact</t>
  </si>
  <si>
    <t xml:space="preserve">Impact per tree = 22.4 kg dry chips x impact per kg</t>
  </si>
  <si>
    <t xml:space="preserve">Cregg et al. 2009 rate</t>
  </si>
  <si>
    <t xml:space="preserve">EF1 selection</t>
  </si>
  <si>
    <t xml:space="preserve">0.016 where any synthetic N is present (synthetic or mixed); 0.006 only where the application is exclusively organic</t>
  </si>
  <si>
    <t xml:space="preserve">IPCC Table 11.1 footnotes 5 and 6</t>
  </si>
  <si>
    <t xml:space="preserve">References</t>
  </si>
  <si>
    <t xml:space="preserve">#</t>
  </si>
  <si>
    <t xml:space="preserve">Reference</t>
  </si>
  <si>
    <t xml:space="preserve">URL</t>
  </si>
  <si>
    <t xml:space="preserve">IPCC. 2019 Refinement to the 2006 IPCC Guidelines for National Greenhouse Gas Inventories, Volume 4, Chapter 11.</t>
  </si>
  <si>
    <t xml:space="preserve">https://www.ipcc-nggip.iges.or.jp/public/2019rf/pdf/4_Volume4/19R_V4_Ch11_Soils_N2O_CO2.pdf</t>
  </si>
  <si>
    <t xml:space="preserve">NC State Extension. Poultry Litter as a Fertilizer Source.</t>
  </si>
  <si>
    <t xml:space="preserve">https://content.ces.ncsu.edu/poultry-litter-as-a-fertilizer-source</t>
  </si>
  <si>
    <t xml:space="preserve">Bare, J.C. 2012. TRACI Version 2.1 User's Guide.</t>
  </si>
  <si>
    <t xml:space="preserve">https://nepis.epa.gov/Adobe/PDF/P100HN53.pdf</t>
  </si>
  <si>
    <t xml:space="preserve">Cregg, B.M., Nzokou, P., and Goldy, R. 2009. Growth and Physiology of Newly Planted Fraser Fir and Colorado Blue Spruce Christmas Trees in Response to Mulch and Irrigation. HortScience 44(3):660-665.</t>
  </si>
  <si>
    <t xml:space="preserve">https://doi.org/10.21273/HORTSCI.44.3.660</t>
  </si>
  <si>
    <t xml:space="preserve">ecoinvent v3.12 Cutoff, dataset 9421.</t>
  </si>
  <si>
    <t xml:space="preserve">https://ecoquery.ecoinvent.org/3.12/cutoff/dataset/9421/documentation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</si>
</sst>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"/>
    <numFmt numFmtId="166" formatCode="0.000000E+0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8CD9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999999"/>
      <rgbColor rgb="FF003366"/>
      <rgbColor rgb="FF4299B0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GWP per tree: upstream vs direct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'Results per Tree'!$C$6:$H$6</c:f>
              <c:numCache>
                <c:formatCode>0.000000E+00</c:formatCode>
                <c:ptCount val="6"/>
                <c:pt idx="0">
                  <c:v>1.90153209473684</c:v>
                </c:pt>
                <c:pt idx="1">
                  <c:v>1.42614906842105</c:v>
                </c:pt>
                <c:pt idx="2">
                  <c:v>0.950766047368421</c:v>
                </c:pt>
                <c:pt idx="3">
                  <c:v>1.43762387157895</c:v>
                </c:pt>
                <c:pt idx="4">
                  <c:v>0.973715654210526</c:v>
                </c:pt>
                <c:pt idx="5">
                  <c:v>1.1648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'Results per Tree'!$C$18:$H$18</c:f>
              <c:numCache>
                <c:formatCode>0.000000E+00</c:formatCode>
                <c:ptCount val="6"/>
                <c:pt idx="0">
                  <c:v>1.611732494592</c:v>
                </c:pt>
                <c:pt idx="1">
                  <c:v>1.208799370944</c:v>
                </c:pt>
                <c:pt idx="2">
                  <c:v>0.805866247296</c:v>
                </c:pt>
                <c:pt idx="3">
                  <c:v>2.0705463182947</c:v>
                </c:pt>
                <c:pt idx="4">
                  <c:v>2.52936014199741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6217724"/>
        <c:axId val="2074722"/>
      </c:barChart>
      <c:catAx>
        <c:axId val="76217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4722"/>
        <c:crosses val="autoZero"/>
        <c:auto val="1"/>
        <c:lblAlgn val="ctr"/>
        <c:lblOffset val="100"/>
        <c:noMultiLvlLbl val="0"/>
      </c:catAx>
      <c:valAx>
        <c:axId val="2074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CO2-eq per tree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E+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77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Non-GWP TRACI results as percent of fertilizer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Baseline'!$C$5:$H$5</c:f>
              <c:numCache>
                <c:formatCode>0.0%</c:formatCode>
                <c:ptCount val="6"/>
                <c:pt idx="0">
                  <c:v>1</c:v>
                </c:pt>
                <c:pt idx="1">
                  <c:v>0.749999948597696</c:v>
                </c:pt>
                <c:pt idx="2">
                  <c:v>0.5</c:v>
                </c:pt>
                <c:pt idx="3">
                  <c:v>1.54966046518484</c:v>
                </c:pt>
                <c:pt idx="4">
                  <c:v>2.0993210331743</c:v>
                </c:pt>
                <c:pt idx="5">
                  <c:v>0.0945078641087467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Baseline'!$C$6:$H$6</c:f>
              <c:numCache>
                <c:formatCode>0.0%</c:formatCode>
                <c:ptCount val="6"/>
                <c:pt idx="0">
                  <c:v>1</c:v>
                </c:pt>
                <c:pt idx="1">
                  <c:v>0.749999999250959</c:v>
                </c:pt>
                <c:pt idx="2">
                  <c:v>0.5</c:v>
                </c:pt>
                <c:pt idx="3">
                  <c:v>0.998549952807237</c:v>
                </c:pt>
                <c:pt idx="4">
                  <c:v>0.997099907262364</c:v>
                </c:pt>
                <c:pt idx="5">
                  <c:v>0.331543489077923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Baseline'!$C$7:$H$7</c:f>
              <c:numCache>
                <c:formatCode>0.0%</c:formatCode>
                <c:ptCount val="6"/>
                <c:pt idx="0">
                  <c:v>1</c:v>
                </c:pt>
                <c:pt idx="1">
                  <c:v>0.749999168188536</c:v>
                </c:pt>
                <c:pt idx="2">
                  <c:v>0.5</c:v>
                </c:pt>
                <c:pt idx="3">
                  <c:v>0.754949599289698</c:v>
                </c:pt>
                <c:pt idx="4">
                  <c:v>0.509900862202324</c:v>
                </c:pt>
                <c:pt idx="5">
                  <c:v>0.339150162878212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Baseline'!$C$8:$H$8</c:f>
              <c:numCache>
                <c:formatCode>0.0%</c:formatCode>
                <c:ptCount val="6"/>
                <c:pt idx="0">
                  <c:v>1</c:v>
                </c:pt>
                <c:pt idx="1">
                  <c:v>0.750000026139059</c:v>
                </c:pt>
                <c:pt idx="2">
                  <c:v>0.499999947721881</c:v>
                </c:pt>
                <c:pt idx="3">
                  <c:v>1.20335896226805</c:v>
                </c:pt>
                <c:pt idx="4">
                  <c:v>1.40671780952424</c:v>
                </c:pt>
                <c:pt idx="5">
                  <c:v>0.0406722094584148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Baseline'!$C$9:$H$9</c:f>
              <c:numCache>
                <c:formatCode>0.0%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0.75</c:v>
                </c:pt>
                <c:pt idx="4">
                  <c:v>0.5</c:v>
                </c:pt>
                <c:pt idx="5">
                  <c:v>0.261212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Baseline'!$C$10:$H$10</c:f>
              <c:numCache>
                <c:formatCode>0.0%</c:formatCode>
                <c:ptCount val="6"/>
                <c:pt idx="0">
                  <c:v>1</c:v>
                </c:pt>
                <c:pt idx="1">
                  <c:v>0.746835443037975</c:v>
                </c:pt>
                <c:pt idx="2">
                  <c:v>0.493670886075949</c:v>
                </c:pt>
                <c:pt idx="3">
                  <c:v>0.746835443037975</c:v>
                </c:pt>
                <c:pt idx="4">
                  <c:v>0.493670886075949</c:v>
                </c:pt>
                <c:pt idx="5">
                  <c:v>0.684192405063291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Baseline'!$C$11:$H$11</c:f>
              <c:numCache>
                <c:formatCode>0.0%</c:formatCode>
                <c:ptCount val="6"/>
                <c:pt idx="0">
                  <c:v>1</c:v>
                </c:pt>
                <c:pt idx="1">
                  <c:v>0.749998129027269</c:v>
                </c:pt>
                <c:pt idx="2">
                  <c:v>0.499998752684846</c:v>
                </c:pt>
                <c:pt idx="3">
                  <c:v>0.759178618024702</c:v>
                </c:pt>
                <c:pt idx="4">
                  <c:v>0.518359730679712</c:v>
                </c:pt>
                <c:pt idx="5">
                  <c:v>0.854680300652845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Baseline'!$C$12:$H$12</c:f>
              <c:numCache>
                <c:formatCode>0.0%</c:formatCode>
                <c:ptCount val="6"/>
                <c:pt idx="0">
                  <c:v>1</c:v>
                </c:pt>
                <c:pt idx="1">
                  <c:v>0.749999525076713</c:v>
                </c:pt>
                <c:pt idx="2">
                  <c:v>0.500000949846573</c:v>
                </c:pt>
                <c:pt idx="3">
                  <c:v>1.27648245951189</c:v>
                </c:pt>
                <c:pt idx="4">
                  <c:v>1.55296700868624</c:v>
                </c:pt>
                <c:pt idx="5">
                  <c:v>0.231233689344898</c:v>
                </c:pt>
              </c:numCache>
            </c:numRef>
          </c:val>
        </c:ser>
        <c:ser>
          <c:idx val="8"/>
          <c:order val="8"/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'Percent of Baseline'!$A$5:$A$13</c:f>
              <c:multiLvlStrCache>
                <c:ptCount val="1"/>
                <c:lvl>
                  <c:pt idx="0">
                    <c:v>Photochemical oxidants</c:v>
                  </c:pt>
                </c:lvl>
                <c:lvl>
                  <c:pt idx="0">
                    <c:v>Particulate matter</c:v>
                  </c:pt>
                </c:lvl>
                <c:lvl>
                  <c:pt idx="0">
                    <c:v>Ozone depletion</c:v>
                  </c:pt>
                </c:lvl>
                <c:lvl>
                  <c:pt idx="0">
                    <c:v>Human toxicity non-carcinogenic</c:v>
                  </c:pt>
                </c:lvl>
                <c:lvl>
                  <c:pt idx="0">
                    <c:v>Human toxicity carcinogenic</c:v>
                  </c:pt>
                </c:lvl>
                <c:lvl>
                  <c:pt idx="0">
                    <c:v>Eutrophication</c:v>
                  </c:pt>
                </c:lvl>
                <c:lvl>
                  <c:pt idx="0">
                    <c:v>Freshwater ecotoxicity</c:v>
                  </c:pt>
                </c:lvl>
                <c:lvl>
                  <c:pt idx="0">
                    <c:v>Climate change</c:v>
                  </c:pt>
                </c:lvl>
                <c:lvl>
                  <c:pt idx="0">
                    <c:v>Acidification</c:v>
                  </c:pt>
                </c:lvl>
              </c:multiLvlStrCache>
            </c:multiLvlStrRef>
          </c:cat>
          <c:val>
            <c:numRef>
              <c:f>'Percent of Baseline'!$C$13:$H$13</c:f>
              <c:numCache>
                <c:formatCode>0.0%</c:formatCode>
                <c:ptCount val="6"/>
                <c:pt idx="0">
                  <c:v>1</c:v>
                </c:pt>
                <c:pt idx="1">
                  <c:v>0.750000027992778</c:v>
                </c:pt>
                <c:pt idx="2">
                  <c:v>0.5</c:v>
                </c:pt>
                <c:pt idx="3">
                  <c:v>0.766423127633071</c:v>
                </c:pt>
                <c:pt idx="4">
                  <c:v>0.532846199280586</c:v>
                </c:pt>
                <c:pt idx="5">
                  <c:v>1.49398127283161</c:v>
                </c:pt>
              </c:numCache>
            </c:numRef>
          </c:val>
        </c:ser>
        <c:gapWidth val="150"/>
        <c:overlap val="0"/>
        <c:axId val="28419187"/>
        <c:axId val="78977352"/>
      </c:barChart>
      <c:catAx>
        <c:axId val="28419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77352"/>
        <c:crosses val="autoZero"/>
        <c:auto val="1"/>
        <c:lblAlgn val="ctr"/>
        <c:lblOffset val="100"/>
        <c:noMultiLvlLbl val="0"/>
      </c:catAx>
      <c:valAx>
        <c:axId val="78977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baseline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19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90360</xdr:rowOff>
    </xdr:from>
    <xdr:to>
      <xdr:col>5</xdr:col>
      <xdr:colOff>503640</xdr:colOff>
      <xdr:row>54</xdr:row>
      <xdr:rowOff>91440</xdr:rowOff>
    </xdr:to>
    <xdr:graphicFrame>
      <xdr:nvGraphicFramePr>
        <xdr:cNvPr id="0" name="Chart 1"/>
        <xdr:cNvGraphicFramePr/>
      </xdr:nvGraphicFramePr>
      <xdr:xfrm>
        <a:off x="0" y="7620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90360</xdr:rowOff>
    </xdr:from>
    <xdr:to>
      <xdr:col>6</xdr:col>
      <xdr:colOff>95760</xdr:colOff>
      <xdr:row>56</xdr:row>
      <xdr:rowOff>70560</xdr:rowOff>
    </xdr:to>
    <xdr:graphicFrame>
      <xdr:nvGraphicFramePr>
        <xdr:cNvPr id="1" name="Chart 1"/>
        <xdr:cNvGraphicFramePr/>
      </xdr:nvGraphicFramePr>
      <xdr:xfrm>
        <a:off x="0" y="7620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  <row r="12" customFormat="false" ht="30" hidden="false" customHeight="true" outlineLevel="0" collapsed="false">
      <c r="A12" s="2" t="s">
        <v>19</v>
      </c>
      <c r="B12" s="3" t="s">
        <v>20</v>
      </c>
    </row>
    <row r="13" customFormat="false" ht="30" hidden="false" customHeight="tru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23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26</v>
      </c>
      <c r="D3" s="4" t="s">
        <v>27</v>
      </c>
    </row>
    <row r="4" customFormat="false" ht="15" hidden="false" customHeight="false" outlineLevel="0" collapsed="false">
      <c r="A4" s="5" t="s">
        <v>28</v>
      </c>
      <c r="B4" s="6" t="n">
        <v>1900</v>
      </c>
      <c r="C4" s="5" t="s">
        <v>29</v>
      </c>
      <c r="D4" s="3" t="s">
        <v>30</v>
      </c>
    </row>
    <row r="5" customFormat="false" ht="15" hidden="false" customHeight="false" outlineLevel="0" collapsed="false">
      <c r="A5" s="5" t="s">
        <v>31</v>
      </c>
      <c r="B5" s="6" t="n">
        <v>0.893</v>
      </c>
      <c r="C5" s="5" t="s">
        <v>32</v>
      </c>
      <c r="D5" s="3" t="s">
        <v>33</v>
      </c>
    </row>
    <row r="6" customFormat="false" ht="15" hidden="false" customHeight="false" outlineLevel="0" collapsed="false">
      <c r="A6" s="5" t="s">
        <v>34</v>
      </c>
      <c r="B6" s="6" t="n">
        <v>4210.56</v>
      </c>
      <c r="C6" s="5" t="s">
        <v>35</v>
      </c>
      <c r="D6" s="3" t="s">
        <v>36</v>
      </c>
    </row>
    <row r="7" customFormat="false" ht="15" hidden="false" customHeight="false" outlineLevel="0" collapsed="false">
      <c r="A7" s="5" t="s">
        <v>37</v>
      </c>
      <c r="B7" s="6" t="n">
        <v>1909.88</v>
      </c>
      <c r="C7" s="5" t="s">
        <v>38</v>
      </c>
      <c r="D7" s="3" t="s">
        <v>39</v>
      </c>
    </row>
    <row r="8" customFormat="false" ht="15" hidden="false" customHeight="false" outlineLevel="0" collapsed="false">
      <c r="A8" s="5" t="s">
        <v>40</v>
      </c>
      <c r="B8" s="6" t="n">
        <v>362.88</v>
      </c>
      <c r="C8" s="5" t="s">
        <v>41</v>
      </c>
      <c r="D8" s="3" t="s">
        <v>42</v>
      </c>
    </row>
    <row r="9" customFormat="false" ht="15" hidden="false" customHeight="false" outlineLevel="0" collapsed="false">
      <c r="A9" s="5" t="s">
        <v>43</v>
      </c>
      <c r="B9" s="6" t="n">
        <v>2419</v>
      </c>
      <c r="C9" s="5" t="s">
        <v>38</v>
      </c>
      <c r="D9" s="3" t="s">
        <v>44</v>
      </c>
    </row>
    <row r="10" customFormat="false" ht="15" hidden="false" customHeight="false" outlineLevel="0" collapsed="false">
      <c r="A10" s="5" t="s">
        <v>45</v>
      </c>
      <c r="B10" s="6" t="n">
        <v>0.016</v>
      </c>
      <c r="C10" s="5" t="s">
        <v>46</v>
      </c>
      <c r="D10" s="3" t="s">
        <v>47</v>
      </c>
    </row>
    <row r="11" customFormat="false" ht="15" hidden="false" customHeight="false" outlineLevel="0" collapsed="false">
      <c r="A11" s="5" t="s">
        <v>48</v>
      </c>
      <c r="B11" s="6" t="n">
        <v>0.006</v>
      </c>
      <c r="C11" s="5" t="s">
        <v>46</v>
      </c>
      <c r="D11" s="3" t="s">
        <v>49</v>
      </c>
    </row>
    <row r="12" customFormat="false" ht="23.85" hidden="false" customHeight="false" outlineLevel="0" collapsed="false">
      <c r="A12" s="5" t="s">
        <v>50</v>
      </c>
      <c r="B12" s="6" t="n">
        <v>0.11</v>
      </c>
      <c r="C12" s="5" t="s">
        <v>32</v>
      </c>
      <c r="D12" s="3" t="s">
        <v>51</v>
      </c>
    </row>
    <row r="13" customFormat="false" ht="15" hidden="false" customHeight="false" outlineLevel="0" collapsed="false">
      <c r="A13" s="5" t="s">
        <v>52</v>
      </c>
      <c r="B13" s="6" t="n">
        <v>0.21</v>
      </c>
      <c r="C13" s="5" t="s">
        <v>32</v>
      </c>
      <c r="D13" s="3" t="s">
        <v>53</v>
      </c>
    </row>
    <row r="14" customFormat="false" ht="15" hidden="false" customHeight="false" outlineLevel="0" collapsed="false">
      <c r="A14" s="5" t="s">
        <v>54</v>
      </c>
      <c r="B14" s="6" t="n">
        <v>0.014</v>
      </c>
      <c r="C14" s="5" t="s">
        <v>46</v>
      </c>
      <c r="D14" s="3" t="s">
        <v>55</v>
      </c>
    </row>
    <row r="15" customFormat="false" ht="15" hidden="false" customHeight="false" outlineLevel="0" collapsed="false">
      <c r="A15" s="5" t="s">
        <v>56</v>
      </c>
      <c r="B15" s="6" t="n">
        <v>0.24</v>
      </c>
      <c r="C15" s="5" t="s">
        <v>32</v>
      </c>
      <c r="D15" s="3" t="s">
        <v>57</v>
      </c>
    </row>
    <row r="16" customFormat="false" ht="15" hidden="false" customHeight="false" outlineLevel="0" collapsed="false">
      <c r="A16" s="5" t="s">
        <v>58</v>
      </c>
      <c r="B16" s="6" t="n">
        <v>0.011</v>
      </c>
      <c r="C16" s="5" t="s">
        <v>46</v>
      </c>
      <c r="D16" s="3" t="s">
        <v>59</v>
      </c>
    </row>
    <row r="17" customFormat="false" ht="15" hidden="false" customHeight="false" outlineLevel="0" collapsed="false">
      <c r="A17" s="5" t="s">
        <v>60</v>
      </c>
      <c r="B17" s="6" t="n">
        <v>1.57142857142857</v>
      </c>
      <c r="C17" s="5" t="s">
        <v>61</v>
      </c>
      <c r="D17" s="3" t="s">
        <v>62</v>
      </c>
    </row>
    <row r="18" customFormat="false" ht="15" hidden="false" customHeight="false" outlineLevel="0" collapsed="false">
      <c r="A18" s="5" t="s">
        <v>63</v>
      </c>
      <c r="B18" s="6" t="n">
        <v>1.21428571428571</v>
      </c>
      <c r="C18" s="5" t="s">
        <v>61</v>
      </c>
      <c r="D18" s="3" t="s">
        <v>62</v>
      </c>
    </row>
    <row r="19" customFormat="false" ht="15" hidden="false" customHeight="false" outlineLevel="0" collapsed="false">
      <c r="A19" s="5" t="s">
        <v>64</v>
      </c>
      <c r="B19" s="6" t="n">
        <v>4.42857142857143</v>
      </c>
      <c r="C19" s="5" t="s">
        <v>61</v>
      </c>
      <c r="D19" s="3" t="s">
        <v>62</v>
      </c>
    </row>
    <row r="20" customFormat="false" ht="15" hidden="false" customHeight="false" outlineLevel="0" collapsed="false">
      <c r="A20" s="5" t="s">
        <v>65</v>
      </c>
      <c r="B20" s="6" t="n">
        <v>298</v>
      </c>
      <c r="C20" s="5" t="s">
        <v>66</v>
      </c>
      <c r="D20" s="3" t="s">
        <v>67</v>
      </c>
    </row>
    <row r="21" customFormat="false" ht="15" hidden="false" customHeight="false" outlineLevel="0" collapsed="false">
      <c r="A21" s="5" t="s">
        <v>68</v>
      </c>
      <c r="B21" s="6" t="n">
        <v>57.8</v>
      </c>
      <c r="C21" s="5" t="s">
        <v>69</v>
      </c>
      <c r="D21" s="3" t="s">
        <v>70</v>
      </c>
    </row>
    <row r="22" customFormat="false" ht="15" hidden="false" customHeight="false" outlineLevel="0" collapsed="false">
      <c r="A22" s="5" t="s">
        <v>71</v>
      </c>
      <c r="B22" s="6" t="n">
        <v>0.5</v>
      </c>
      <c r="C22" s="5" t="s">
        <v>32</v>
      </c>
      <c r="D22" s="3" t="s">
        <v>70</v>
      </c>
    </row>
    <row r="23" customFormat="false" ht="15" hidden="false" customHeight="false" outlineLevel="0" collapsed="false">
      <c r="A23" s="5" t="s">
        <v>72</v>
      </c>
      <c r="B23" s="6" t="n">
        <v>28.9</v>
      </c>
      <c r="C23" s="5" t="s">
        <v>73</v>
      </c>
      <c r="D23" s="3" t="s">
        <v>74</v>
      </c>
    </row>
    <row r="24" customFormat="false" ht="15" hidden="false" customHeight="false" outlineLevel="0" collapsed="false">
      <c r="A24" s="5" t="s">
        <v>75</v>
      </c>
      <c r="B24" s="6" t="n">
        <v>22.4</v>
      </c>
      <c r="C24" s="5" t="s">
        <v>76</v>
      </c>
      <c r="D24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78</v>
      </c>
    </row>
    <row r="3" customFormat="false" ht="26.85" hidden="false" customHeight="false" outlineLevel="0" collapsed="false">
      <c r="A3" s="7" t="s">
        <v>79</v>
      </c>
      <c r="B3" s="7" t="s">
        <v>80</v>
      </c>
      <c r="C3" s="7" t="s">
        <v>81</v>
      </c>
      <c r="D3" s="7" t="s">
        <v>82</v>
      </c>
      <c r="E3" s="7" t="s">
        <v>83</v>
      </c>
      <c r="F3" s="7" t="s">
        <v>84</v>
      </c>
      <c r="G3" s="7" t="s">
        <v>85</v>
      </c>
    </row>
    <row r="4" customFormat="false" ht="15" hidden="false" customHeight="false" outlineLevel="0" collapsed="false">
      <c r="A4" s="8" t="s">
        <v>86</v>
      </c>
      <c r="B4" s="6" t="n">
        <v>2419</v>
      </c>
      <c r="C4" s="6" t="n">
        <v>0</v>
      </c>
      <c r="D4" s="6" t="n">
        <v>0</v>
      </c>
      <c r="E4" s="8" t="n">
        <f aca="false">B4/Assumptions!$B$9*Assumptions!$B$8</f>
        <v>362.88</v>
      </c>
      <c r="F4" s="8" t="n">
        <f aca="false">C4/907.185*Assumptions!$B$21/2.20462</f>
        <v>0</v>
      </c>
      <c r="G4" s="6" t="n">
        <v>0</v>
      </c>
    </row>
    <row r="5" customFormat="false" ht="15" hidden="false" customHeight="false" outlineLevel="0" collapsed="false">
      <c r="A5" s="8" t="s">
        <v>87</v>
      </c>
      <c r="B5" s="6" t="n">
        <v>1814.25</v>
      </c>
      <c r="C5" s="6" t="n">
        <v>0</v>
      </c>
      <c r="D5" s="6" t="n">
        <v>0</v>
      </c>
      <c r="E5" s="8" t="n">
        <f aca="false">B5/Assumptions!$B$9*Assumptions!$B$8</f>
        <v>272.16</v>
      </c>
      <c r="F5" s="8" t="n">
        <f aca="false">C5/907.185*Assumptions!$B$21/2.20462</f>
        <v>0</v>
      </c>
      <c r="G5" s="6" t="n">
        <v>0</v>
      </c>
    </row>
    <row r="6" customFormat="false" ht="15" hidden="false" customHeight="false" outlineLevel="0" collapsed="false">
      <c r="A6" s="8" t="s">
        <v>88</v>
      </c>
      <c r="B6" s="6" t="n">
        <v>1209.5</v>
      </c>
      <c r="C6" s="6" t="n">
        <v>0</v>
      </c>
      <c r="D6" s="6" t="n">
        <v>0</v>
      </c>
      <c r="E6" s="8" t="n">
        <f aca="false">B6/Assumptions!$B$9*Assumptions!$B$8</f>
        <v>181.44</v>
      </c>
      <c r="F6" s="8" t="n">
        <f aca="false">C6/907.185*Assumptions!$B$21/2.20462</f>
        <v>0</v>
      </c>
      <c r="G6" s="6" t="n">
        <v>0</v>
      </c>
    </row>
    <row r="7" customFormat="false" ht="15" hidden="false" customHeight="false" outlineLevel="0" collapsed="false">
      <c r="A7" s="8" t="s">
        <v>89</v>
      </c>
      <c r="B7" s="6" t="n">
        <v>1814.25</v>
      </c>
      <c r="C7" s="6" t="n">
        <v>6278</v>
      </c>
      <c r="D7" s="6" t="n">
        <v>0</v>
      </c>
      <c r="E7" s="8" t="n">
        <f aca="false">B7/Assumptions!$B$9*Assumptions!$B$8</f>
        <v>272.16</v>
      </c>
      <c r="F7" s="8" t="n">
        <f aca="false">C7/907.185*Assumptions!$B$21/2.20462</f>
        <v>181.434363771728</v>
      </c>
      <c r="G7" s="6" t="n">
        <v>0.25</v>
      </c>
    </row>
    <row r="8" customFormat="false" ht="15" hidden="false" customHeight="false" outlineLevel="0" collapsed="false">
      <c r="A8" s="8" t="s">
        <v>90</v>
      </c>
      <c r="B8" s="6" t="n">
        <v>1209.5</v>
      </c>
      <c r="C8" s="6" t="n">
        <v>12556</v>
      </c>
      <c r="D8" s="6" t="n">
        <v>0</v>
      </c>
      <c r="E8" s="8" t="n">
        <f aca="false">B8/Assumptions!$B$9*Assumptions!$B$8</f>
        <v>181.44</v>
      </c>
      <c r="F8" s="8" t="n">
        <f aca="false">C8/907.185*Assumptions!$B$21/2.20462</f>
        <v>362.868727543457</v>
      </c>
      <c r="G8" s="6" t="n">
        <v>0.5</v>
      </c>
    </row>
    <row r="9" customFormat="false" ht="15" hidden="false" customHeight="false" outlineLevel="0" collapsed="false">
      <c r="A9" s="8" t="s">
        <v>91</v>
      </c>
      <c r="B9" s="6" t="n">
        <v>0</v>
      </c>
      <c r="C9" s="6" t="n">
        <v>0</v>
      </c>
      <c r="D9" s="6" t="n">
        <v>22.4</v>
      </c>
      <c r="E9" s="8" t="n">
        <f aca="false">B9/Assumptions!$B$9*Assumptions!$B$8</f>
        <v>0</v>
      </c>
      <c r="F9" s="8" t="n">
        <f aca="false">C9/907.185*Assumptions!$B$21/2.20462</f>
        <v>0</v>
      </c>
      <c r="G9" s="6" t="n">
        <v>0</v>
      </c>
    </row>
    <row r="11" customFormat="false" ht="15" hidden="false" customHeight="false" outlineLevel="0" collapsed="false">
      <c r="A11" s="5" t="s">
        <v>92</v>
      </c>
    </row>
    <row r="12" customFormat="false" ht="15" hidden="false" customHeight="false" outlineLevel="0" collapsed="false">
      <c r="A12" s="5" t="s">
        <v>93</v>
      </c>
    </row>
    <row r="13" customFormat="false" ht="15" hidden="false" customHeight="false" outlineLevel="0" collapsed="false">
      <c r="A13" s="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7"/>
  </cols>
  <sheetData>
    <row r="1" customFormat="false" ht="17.35" hidden="false" customHeight="false" outlineLevel="0" collapsed="false">
      <c r="A1" s="1" t="s">
        <v>95</v>
      </c>
    </row>
    <row r="3" customFormat="false" ht="26.85" hidden="false" customHeight="false" outlineLevel="0" collapsed="false">
      <c r="A3" s="7" t="s">
        <v>79</v>
      </c>
      <c r="B3" s="7" t="s">
        <v>96</v>
      </c>
      <c r="C3" s="7" t="s">
        <v>97</v>
      </c>
      <c r="D3" s="7" t="s">
        <v>98</v>
      </c>
      <c r="E3" s="7" t="s">
        <v>99</v>
      </c>
      <c r="F3" s="7" t="s">
        <v>100</v>
      </c>
      <c r="G3" s="7" t="s">
        <v>101</v>
      </c>
      <c r="H3" s="7" t="s">
        <v>102</v>
      </c>
      <c r="I3" s="7" t="s">
        <v>103</v>
      </c>
      <c r="J3" s="7" t="s">
        <v>104</v>
      </c>
    </row>
    <row r="4" customFormat="false" ht="15" hidden="false" customHeight="false" outlineLevel="0" collapsed="false">
      <c r="A4" s="9" t="str">
        <f aca="false">'Scenario Inputs'!A4</f>
        <v>Baseline 100% synthetic</v>
      </c>
      <c r="B4" s="10" t="n">
        <f aca="false">'Scenario Inputs'!E4*Assumptions!$B$5/Assumptions!$B$4</f>
        <v>0.1705536</v>
      </c>
      <c r="C4" s="10" t="n">
        <f aca="false">'Scenario Inputs'!F4*Assumptions!$B$5/Assumptions!$B$4</f>
        <v>0</v>
      </c>
      <c r="D4" s="11" t="n">
        <f aca="false">(B4*Assumptions!$B$12+C4*Assumptions!$B$13)*Assumptions!$B$18</f>
        <v>0.022781088</v>
      </c>
      <c r="E4" s="11" t="n">
        <f aca="false">(B4+C4)*Assumptions!$B$15*Assumptions!$B$19</f>
        <v>0.181274112</v>
      </c>
      <c r="F4" s="11" t="n">
        <f aca="false">(B4+C4)*Assumptions!$B$10*Assumptions!$B$17</f>
        <v>0.0042882048</v>
      </c>
      <c r="G4" s="11" t="n">
        <f aca="false">(B4*Assumptions!$B$12+C4*Assumptions!$B$13)*Assumptions!$B$14*Assumptions!$B$17</f>
        <v>0.000412739712</v>
      </c>
      <c r="H4" s="11" t="n">
        <f aca="false">(B4+C4)*Assumptions!$B$15*Assumptions!$B$16*Assumptions!$B$17</f>
        <v>0.000707553792</v>
      </c>
      <c r="I4" s="11" t="n">
        <f aca="false">F4+G4+H4</f>
        <v>0.005408498304</v>
      </c>
      <c r="J4" s="11" t="n">
        <f aca="false">I4*Assumptions!$B$20</f>
        <v>1.611732494592</v>
      </c>
    </row>
    <row r="5" customFormat="false" ht="15" hidden="false" customHeight="false" outlineLevel="0" collapsed="false">
      <c r="A5" s="9" t="str">
        <f aca="false">'Scenario Inputs'!A5</f>
        <v>25% synthetic reduction</v>
      </c>
      <c r="B5" s="10" t="n">
        <f aca="false">'Scenario Inputs'!E5*Assumptions!$B$5/Assumptions!$B$4</f>
        <v>0.1279152</v>
      </c>
      <c r="C5" s="10" t="n">
        <f aca="false">'Scenario Inputs'!F5*Assumptions!$B$5/Assumptions!$B$4</f>
        <v>0</v>
      </c>
      <c r="D5" s="11" t="n">
        <f aca="false">(B5*Assumptions!$B$12+C5*Assumptions!$B$13)*Assumptions!$B$18</f>
        <v>0.017085816</v>
      </c>
      <c r="E5" s="11" t="n">
        <f aca="false">(B5+C5)*Assumptions!$B$15*Assumptions!$B$19</f>
        <v>0.135955584</v>
      </c>
      <c r="F5" s="11" t="n">
        <f aca="false">(B5+C5)*Assumptions!$B$10*Assumptions!$B$17</f>
        <v>0.0032161536</v>
      </c>
      <c r="G5" s="11" t="n">
        <f aca="false">(B5*Assumptions!$B$12+C5*Assumptions!$B$13)*Assumptions!$B$14*Assumptions!$B$17</f>
        <v>0.000309554784</v>
      </c>
      <c r="H5" s="11" t="n">
        <f aca="false">(B5+C5)*Assumptions!$B$15*Assumptions!$B$16*Assumptions!$B$17</f>
        <v>0.000530665344</v>
      </c>
      <c r="I5" s="11" t="n">
        <f aca="false">F5+G5+H5</f>
        <v>0.004056373728</v>
      </c>
      <c r="J5" s="11" t="n">
        <f aca="false">I5*Assumptions!$B$20</f>
        <v>1.208799370944</v>
      </c>
    </row>
    <row r="6" customFormat="false" ht="15" hidden="false" customHeight="false" outlineLevel="0" collapsed="false">
      <c r="A6" s="9" t="str">
        <f aca="false">'Scenario Inputs'!A6</f>
        <v>50% synthetic reduction</v>
      </c>
      <c r="B6" s="10" t="n">
        <f aca="false">'Scenario Inputs'!E6*Assumptions!$B$5/Assumptions!$B$4</f>
        <v>0.0852768</v>
      </c>
      <c r="C6" s="10" t="n">
        <f aca="false">'Scenario Inputs'!F6*Assumptions!$B$5/Assumptions!$B$4</f>
        <v>0</v>
      </c>
      <c r="D6" s="11" t="n">
        <f aca="false">(B6*Assumptions!$B$12+C6*Assumptions!$B$13)*Assumptions!$B$18</f>
        <v>0.011390544</v>
      </c>
      <c r="E6" s="11" t="n">
        <f aca="false">(B6+C6)*Assumptions!$B$15*Assumptions!$B$19</f>
        <v>0.090637056</v>
      </c>
      <c r="F6" s="11" t="n">
        <f aca="false">(B6+C6)*Assumptions!$B$10*Assumptions!$B$17</f>
        <v>0.0021441024</v>
      </c>
      <c r="G6" s="11" t="n">
        <f aca="false">(B6*Assumptions!$B$12+C6*Assumptions!$B$13)*Assumptions!$B$14*Assumptions!$B$17</f>
        <v>0.000206369856</v>
      </c>
      <c r="H6" s="11" t="n">
        <f aca="false">(B6+C6)*Assumptions!$B$15*Assumptions!$B$16*Assumptions!$B$17</f>
        <v>0.000353776896</v>
      </c>
      <c r="I6" s="11" t="n">
        <f aca="false">F6+G6+H6</f>
        <v>0.002704249152</v>
      </c>
      <c r="J6" s="11" t="n">
        <f aca="false">I6*Assumptions!$B$20</f>
        <v>0.805866247296</v>
      </c>
    </row>
    <row r="7" customFormat="false" ht="15" hidden="false" customHeight="false" outlineLevel="0" collapsed="false">
      <c r="A7" s="9" t="str">
        <f aca="false">'Scenario Inputs'!A7</f>
        <v>75% synthetic + 25% organic</v>
      </c>
      <c r="B7" s="10" t="n">
        <f aca="false">'Scenario Inputs'!E7*Assumptions!$B$5/Assumptions!$B$4</f>
        <v>0.1279152</v>
      </c>
      <c r="C7" s="10" t="n">
        <f aca="false">'Scenario Inputs'!F7*Assumptions!$B$5/Assumptions!$B$4</f>
        <v>0.0852741509727124</v>
      </c>
      <c r="D7" s="11" t="n">
        <f aca="false">(B7*Assumptions!$B$12+C7*Assumptions!$B$13)*Assumptions!$B$18</f>
        <v>0.0388307244980417</v>
      </c>
      <c r="E7" s="11" t="n">
        <f aca="false">(B7+C7)*Assumptions!$B$15*Assumptions!$B$19</f>
        <v>0.226589824462426</v>
      </c>
      <c r="F7" s="11" t="n">
        <f aca="false">(B7+C7)*Assumptions!$B$10*Assumptions!$B$17</f>
        <v>0.00536018939588534</v>
      </c>
      <c r="G7" s="11" t="n">
        <f aca="false">(B7*Assumptions!$B$12+C7*Assumptions!$B$13)*Assumptions!$B$14*Assumptions!$B$17</f>
        <v>0.000703521361493931</v>
      </c>
      <c r="H7" s="11" t="n">
        <f aca="false">(B7+C7)*Assumptions!$B$15*Assumptions!$B$16*Assumptions!$B$17</f>
        <v>0.000884431250321081</v>
      </c>
      <c r="I7" s="11" t="n">
        <f aca="false">F7+G7+H7</f>
        <v>0.00694814200770035</v>
      </c>
      <c r="J7" s="11" t="n">
        <f aca="false">I7*Assumptions!$B$20</f>
        <v>2.0705463182947</v>
      </c>
    </row>
    <row r="8" customFormat="false" ht="15" hidden="false" customHeight="false" outlineLevel="0" collapsed="false">
      <c r="A8" s="9" t="str">
        <f aca="false">'Scenario Inputs'!A8</f>
        <v>50% synthetic + 50% organic</v>
      </c>
      <c r="B8" s="10" t="n">
        <f aca="false">'Scenario Inputs'!E8*Assumptions!$B$5/Assumptions!$B$4</f>
        <v>0.0852768</v>
      </c>
      <c r="C8" s="10" t="n">
        <f aca="false">'Scenario Inputs'!F8*Assumptions!$B$5/Assumptions!$B$4</f>
        <v>0.170548301945425</v>
      </c>
      <c r="D8" s="11" t="n">
        <f aca="false">(B8*Assumptions!$B$12+C8*Assumptions!$B$13)*Assumptions!$B$18</f>
        <v>0.0548803609960833</v>
      </c>
      <c r="E8" s="11" t="n">
        <f aca="false">(B8+C8)*Assumptions!$B$15*Assumptions!$B$19</f>
        <v>0.271905536924852</v>
      </c>
      <c r="F8" s="11" t="n">
        <f aca="false">(B8+C8)*Assumptions!$B$10*Assumptions!$B$17</f>
        <v>0.00643217399177068</v>
      </c>
      <c r="G8" s="11" t="n">
        <f aca="false">(B8*Assumptions!$B$12+C8*Assumptions!$B$13)*Assumptions!$B$14*Assumptions!$B$17</f>
        <v>0.000994303010987862</v>
      </c>
      <c r="H8" s="11" t="n">
        <f aca="false">(B8+C8)*Assumptions!$B$15*Assumptions!$B$16*Assumptions!$B$17</f>
        <v>0.00106130870864216</v>
      </c>
      <c r="I8" s="11" t="n">
        <f aca="false">F8+G8+H8</f>
        <v>0.0084877857114007</v>
      </c>
      <c r="J8" s="11" t="n">
        <f aca="false">I8*Assumptions!$B$20</f>
        <v>2.52936014199741</v>
      </c>
    </row>
    <row r="9" customFormat="false" ht="15" hidden="false" customHeight="false" outlineLevel="0" collapsed="false">
      <c r="A9" s="9" t="str">
        <f aca="false">'Scenario Inputs'!A9</f>
        <v>Wood-chip mulch only</v>
      </c>
      <c r="B9" s="10" t="n">
        <f aca="false">'Scenario Inputs'!E9*Assumptions!$B$5/Assumptions!$B$4</f>
        <v>0</v>
      </c>
      <c r="C9" s="10" t="n">
        <f aca="false">'Scenario Inputs'!F9*Assumptions!$B$5/Assumptions!$B$4</f>
        <v>0</v>
      </c>
      <c r="D9" s="11" t="n">
        <f aca="false">(B9*Assumptions!$B$12+C9*Assumptions!$B$13)*Assumptions!$B$18</f>
        <v>0</v>
      </c>
      <c r="E9" s="11" t="n">
        <f aca="false">(B9+C9)*Assumptions!$B$15*Assumptions!$B$19</f>
        <v>0</v>
      </c>
      <c r="F9" s="11" t="n">
        <f aca="false">(B9+C9)*Assumptions!$B$10*Assumptions!$B$17</f>
        <v>0</v>
      </c>
      <c r="G9" s="11" t="n">
        <f aca="false">(B9*Assumptions!$B$12+C9*Assumptions!$B$13)*Assumptions!$B$14*Assumptions!$B$17</f>
        <v>0</v>
      </c>
      <c r="H9" s="11" t="n">
        <f aca="false">(B9+C9)*Assumptions!$B$15*Assumptions!$B$16*Assumptions!$B$17</f>
        <v>0</v>
      </c>
      <c r="I9" s="11" t="n">
        <f aca="false">F9+G9+H9</f>
        <v>0</v>
      </c>
      <c r="J9" s="11" t="n">
        <f aca="false">I9*Assumptions!$B$20</f>
        <v>0</v>
      </c>
    </row>
    <row r="11" customFormat="false" ht="15" hidden="false" customHeight="false" outlineLevel="0" collapsed="false">
      <c r="A11" s="5" t="s">
        <v>105</v>
      </c>
    </row>
    <row r="12" customFormat="false" ht="15" hidden="false" customHeight="false" outlineLevel="0" collapsed="false">
      <c r="A12" s="5" t="s">
        <v>106</v>
      </c>
    </row>
    <row r="13" customFormat="false" ht="15" hidden="false" customHeight="false" outlineLevel="0" collapsed="false">
      <c r="A13" s="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8" min="3" style="0" width="16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108</v>
      </c>
    </row>
    <row r="3" customFormat="false" ht="26.85" hidden="false" customHeight="false" outlineLevel="0" collapsed="false">
      <c r="A3" s="7" t="s">
        <v>109</v>
      </c>
      <c r="B3" s="7" t="s">
        <v>26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4" t="s">
        <v>110</v>
      </c>
    </row>
    <row r="4" customFormat="false" ht="15" hidden="false" customHeight="false" outlineLevel="0" collapsed="false">
      <c r="A4" s="8" t="s">
        <v>111</v>
      </c>
      <c r="B4" s="8" t="s">
        <v>112</v>
      </c>
      <c r="C4" s="12" t="n">
        <v>15.89102</v>
      </c>
      <c r="D4" s="12" t="n">
        <v>11.91826</v>
      </c>
      <c r="E4" s="12" t="n">
        <v>7.94551</v>
      </c>
      <c r="F4" s="12" t="n">
        <v>12.023421</v>
      </c>
      <c r="G4" s="12" t="n">
        <v>8.155832</v>
      </c>
      <c r="H4" s="13" t="n">
        <f aca="false">Assumptions!$B$24*Assumptions!$B$4*I4</f>
        <v>9.19296</v>
      </c>
      <c r="I4" s="12" t="n">
        <v>0.000216</v>
      </c>
    </row>
    <row r="5" customFormat="false" ht="15" hidden="false" customHeight="false" outlineLevel="0" collapsed="false">
      <c r="A5" s="8" t="s">
        <v>113</v>
      </c>
      <c r="B5" s="8" t="s">
        <v>114</v>
      </c>
      <c r="C5" s="12" t="n">
        <v>3612.91098</v>
      </c>
      <c r="D5" s="12" t="n">
        <v>2709.68323</v>
      </c>
      <c r="E5" s="12" t="n">
        <v>1806.45549</v>
      </c>
      <c r="F5" s="12" t="n">
        <v>2731.485356</v>
      </c>
      <c r="G5" s="12" t="n">
        <v>1850.059743</v>
      </c>
      <c r="H5" s="13" t="n">
        <f aca="false">Assumptions!$B$24*Assumptions!$B$4*I5</f>
        <v>2213.12</v>
      </c>
      <c r="I5" s="12" t="n">
        <v>0.052</v>
      </c>
    </row>
    <row r="6" customFormat="false" ht="15" hidden="false" customHeight="false" outlineLevel="0" collapsed="false">
      <c r="A6" s="8" t="s">
        <v>115</v>
      </c>
      <c r="B6" s="8" t="s">
        <v>116</v>
      </c>
      <c r="C6" s="12" t="n">
        <v>60107.4</v>
      </c>
      <c r="D6" s="12" t="n">
        <v>45080.5</v>
      </c>
      <c r="E6" s="12" t="n">
        <v>30053.7</v>
      </c>
      <c r="F6" s="12" t="n">
        <v>45376.88181</v>
      </c>
      <c r="G6" s="12" t="n">
        <v>30646.46362</v>
      </c>
      <c r="H6" s="13" t="n">
        <f aca="false">Assumptions!$B$24*Assumptions!$B$4*I6</f>
        <v>20386.24</v>
      </c>
      <c r="I6" s="12" t="n">
        <v>0.479</v>
      </c>
    </row>
    <row r="7" customFormat="false" ht="15" hidden="false" customHeight="false" outlineLevel="0" collapsed="false">
      <c r="A7" s="8" t="s">
        <v>117</v>
      </c>
      <c r="B7" s="8" t="s">
        <v>118</v>
      </c>
      <c r="C7" s="12" t="n">
        <v>8.98121</v>
      </c>
      <c r="D7" s="12" t="n">
        <v>6.73591</v>
      </c>
      <c r="E7" s="12" t="n">
        <v>4.4906</v>
      </c>
      <c r="F7" s="12" t="n">
        <v>6.767002</v>
      </c>
      <c r="G7" s="12" t="n">
        <v>4.552783</v>
      </c>
      <c r="H7" s="13" t="n">
        <f aca="false">Assumptions!$B$24*Assumptions!$B$4*I7</f>
        <v>3.889984</v>
      </c>
      <c r="I7" s="12" t="n">
        <v>9.14E-005</v>
      </c>
    </row>
    <row r="8" customFormat="false" ht="15" hidden="false" customHeight="false" outlineLevel="0" collapsed="false">
      <c r="A8" s="8" t="s">
        <v>119</v>
      </c>
      <c r="B8" s="8" t="s">
        <v>120</v>
      </c>
      <c r="C8" s="12" t="n">
        <v>0.0008</v>
      </c>
      <c r="D8" s="12" t="n">
        <v>0.0006</v>
      </c>
      <c r="E8" s="12" t="n">
        <v>0.0004</v>
      </c>
      <c r="F8" s="12" t="n">
        <v>0.0006</v>
      </c>
      <c r="G8" s="12" t="n">
        <v>0.0004</v>
      </c>
      <c r="H8" s="13" t="n">
        <f aca="false">Assumptions!$B$24*Assumptions!$B$4*I8</f>
        <v>0.0002089696</v>
      </c>
      <c r="I8" s="12" t="n">
        <v>4.91E-009</v>
      </c>
    </row>
    <row r="9" customFormat="false" ht="15" hidden="false" customHeight="false" outlineLevel="0" collapsed="false">
      <c r="A9" s="8" t="s">
        <v>121</v>
      </c>
      <c r="B9" s="8" t="s">
        <v>120</v>
      </c>
      <c r="C9" s="12" t="n">
        <v>0.00079</v>
      </c>
      <c r="D9" s="12" t="n">
        <v>0.00059</v>
      </c>
      <c r="E9" s="12" t="n">
        <v>0.00039</v>
      </c>
      <c r="F9" s="12" t="n">
        <v>0.00059</v>
      </c>
      <c r="G9" s="12" t="n">
        <v>0.00039</v>
      </c>
      <c r="H9" s="13" t="n">
        <f aca="false">Assumptions!$B$24*Assumptions!$B$4*I9</f>
        <v>0.000540512</v>
      </c>
      <c r="I9" s="12" t="n">
        <v>1.27E-008</v>
      </c>
    </row>
    <row r="10" customFormat="false" ht="15" hidden="false" customHeight="false" outlineLevel="0" collapsed="false">
      <c r="A10" s="8" t="s">
        <v>122</v>
      </c>
      <c r="B10" s="8" t="s">
        <v>123</v>
      </c>
      <c r="C10" s="12" t="n">
        <v>4.00861E-005</v>
      </c>
      <c r="D10" s="12" t="n">
        <v>3.00645E-005</v>
      </c>
      <c r="E10" s="12" t="n">
        <v>2.0043E-005</v>
      </c>
      <c r="F10" s="12" t="n">
        <v>3.043251E-005</v>
      </c>
      <c r="G10" s="12" t="n">
        <v>2.077902E-005</v>
      </c>
      <c r="H10" s="13" t="n">
        <f aca="false">Assumptions!$B$24*Assumptions!$B$4*I10</f>
        <v>3.42608E-005</v>
      </c>
      <c r="I10" s="12" t="n">
        <v>8.05E-010</v>
      </c>
    </row>
    <row r="11" customFormat="false" ht="15" hidden="false" customHeight="false" outlineLevel="0" collapsed="false">
      <c r="A11" s="8" t="s">
        <v>124</v>
      </c>
      <c r="B11" s="8" t="s">
        <v>125</v>
      </c>
      <c r="C11" s="12" t="n">
        <v>2.37587</v>
      </c>
      <c r="D11" s="12" t="n">
        <v>1.7819</v>
      </c>
      <c r="E11" s="12" t="n">
        <v>1.18794</v>
      </c>
      <c r="F11" s="12" t="n">
        <v>1.796537</v>
      </c>
      <c r="G11" s="12" t="n">
        <v>1.217215</v>
      </c>
      <c r="H11" s="13" t="n">
        <f aca="false">Assumptions!$B$24*Assumptions!$B$4*I11</f>
        <v>1.217216</v>
      </c>
      <c r="I11" s="12" t="n">
        <v>2.86E-005</v>
      </c>
    </row>
    <row r="12" customFormat="false" ht="15" hidden="false" customHeight="false" outlineLevel="0" collapsed="false">
      <c r="A12" s="8" t="s">
        <v>126</v>
      </c>
      <c r="B12" s="8" t="s">
        <v>127</v>
      </c>
      <c r="C12" s="12" t="n">
        <v>178.6175</v>
      </c>
      <c r="D12" s="12" t="n">
        <v>133.96313</v>
      </c>
      <c r="E12" s="12" t="n">
        <v>89.30875</v>
      </c>
      <c r="F12" s="12" t="n">
        <v>136.896583</v>
      </c>
      <c r="G12" s="12" t="n">
        <v>95.175656</v>
      </c>
      <c r="H12" s="13" t="n">
        <f aca="false">Assumptions!$B$24*Assumptions!$B$4*I12</f>
        <v>266.8512</v>
      </c>
      <c r="I12" s="12" t="n">
        <v>0.00627</v>
      </c>
    </row>
    <row r="14" customFormat="false" ht="15" hidden="false" customHeight="false" outlineLevel="0" collapsed="false">
      <c r="A14" s="5" t="s">
        <v>128</v>
      </c>
    </row>
    <row r="15" customFormat="false" ht="15" hidden="false" customHeight="false" outlineLevel="0" collapsed="false">
      <c r="A15" s="5" t="s">
        <v>129</v>
      </c>
    </row>
    <row r="16" customFormat="false" ht="15" hidden="false" customHeight="false" outlineLevel="0" collapsed="false">
      <c r="A16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2" t="s">
        <v>132</v>
      </c>
    </row>
    <row r="4" customFormat="false" ht="26.85" hidden="false" customHeight="false" outlineLevel="0" collapsed="false">
      <c r="A4" s="7" t="s">
        <v>109</v>
      </c>
      <c r="B4" s="7" t="s">
        <v>26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</row>
    <row r="5" customFormat="false" ht="15" hidden="false" customHeight="false" outlineLevel="0" collapsed="false">
      <c r="A5" s="8" t="s">
        <v>111</v>
      </c>
      <c r="B5" s="8" t="s">
        <v>112</v>
      </c>
      <c r="C5" s="14" t="n">
        <f aca="false">'Upstream openLCA'!C4/Assumptions!$B$4</f>
        <v>0.0083636947368421</v>
      </c>
      <c r="D5" s="14" t="n">
        <f aca="false">'Upstream openLCA'!D4/Assumptions!$B$4</f>
        <v>0.00627276842105263</v>
      </c>
      <c r="E5" s="14" t="n">
        <f aca="false">'Upstream openLCA'!E4/Assumptions!$B$4</f>
        <v>0.00418184736842105</v>
      </c>
      <c r="F5" s="14" t="n">
        <f aca="false">'Upstream openLCA'!F4/Assumptions!$B$4</f>
        <v>0.00632811631578947</v>
      </c>
      <c r="G5" s="14" t="n">
        <f aca="false">'Upstream openLCA'!G4/Assumptions!$B$4</f>
        <v>0.00429254315789474</v>
      </c>
      <c r="H5" s="14" t="n">
        <f aca="false">'Upstream openLCA'!H4/Assumptions!$B$4</f>
        <v>0.0048384</v>
      </c>
    </row>
    <row r="6" customFormat="false" ht="15" hidden="false" customHeight="false" outlineLevel="0" collapsed="false">
      <c r="A6" s="8" t="s">
        <v>113</v>
      </c>
      <c r="B6" s="8" t="s">
        <v>114</v>
      </c>
      <c r="C6" s="14" t="n">
        <f aca="false">'Upstream openLCA'!C5/Assumptions!$B$4</f>
        <v>1.90153209473684</v>
      </c>
      <c r="D6" s="14" t="n">
        <f aca="false">'Upstream openLCA'!D5/Assumptions!$B$4</f>
        <v>1.42614906842105</v>
      </c>
      <c r="E6" s="14" t="n">
        <f aca="false">'Upstream openLCA'!E5/Assumptions!$B$4</f>
        <v>0.950766047368421</v>
      </c>
      <c r="F6" s="14" t="n">
        <f aca="false">'Upstream openLCA'!F5/Assumptions!$B$4</f>
        <v>1.43762387157895</v>
      </c>
      <c r="G6" s="14" t="n">
        <f aca="false">'Upstream openLCA'!G5/Assumptions!$B$4</f>
        <v>0.973715654210526</v>
      </c>
      <c r="H6" s="14" t="n">
        <f aca="false">'Upstream openLCA'!H5/Assumptions!$B$4</f>
        <v>1.1648</v>
      </c>
    </row>
    <row r="7" customFormat="false" ht="15" hidden="false" customHeight="false" outlineLevel="0" collapsed="false">
      <c r="A7" s="8" t="s">
        <v>115</v>
      </c>
      <c r="B7" s="8" t="s">
        <v>116</v>
      </c>
      <c r="C7" s="14" t="n">
        <f aca="false">'Upstream openLCA'!C6/Assumptions!$B$4</f>
        <v>31.6354736842105</v>
      </c>
      <c r="D7" s="14" t="n">
        <f aca="false">'Upstream openLCA'!D6/Assumptions!$B$4</f>
        <v>23.7265789473684</v>
      </c>
      <c r="E7" s="14" t="n">
        <f aca="false">'Upstream openLCA'!E6/Assumptions!$B$4</f>
        <v>15.8177368421053</v>
      </c>
      <c r="F7" s="14" t="n">
        <f aca="false">'Upstream openLCA'!F6/Assumptions!$B$4</f>
        <v>23.8825693736842</v>
      </c>
      <c r="G7" s="14" t="n">
        <f aca="false">'Upstream openLCA'!G6/Assumptions!$B$4</f>
        <v>16.1297176947368</v>
      </c>
      <c r="H7" s="14" t="n">
        <f aca="false">'Upstream openLCA'!H6/Assumptions!$B$4</f>
        <v>10.7296</v>
      </c>
    </row>
    <row r="8" customFormat="false" ht="15" hidden="false" customHeight="false" outlineLevel="0" collapsed="false">
      <c r="A8" s="8" t="s">
        <v>117</v>
      </c>
      <c r="B8" s="8" t="s">
        <v>118</v>
      </c>
      <c r="C8" s="14" t="n">
        <f aca="false">'Upstream openLCA'!C7/Assumptions!$B$4</f>
        <v>0.00472695263157895</v>
      </c>
      <c r="D8" s="14" t="n">
        <f aca="false">'Upstream openLCA'!D7/Assumptions!$B$4</f>
        <v>0.00354521578947368</v>
      </c>
      <c r="E8" s="14" t="n">
        <f aca="false">'Upstream openLCA'!E7/Assumptions!$B$4</f>
        <v>0.00236347368421053</v>
      </c>
      <c r="F8" s="14" t="n">
        <f aca="false">'Upstream openLCA'!F7/Assumptions!$B$4</f>
        <v>0.00356158</v>
      </c>
      <c r="G8" s="14" t="n">
        <f aca="false">'Upstream openLCA'!G7/Assumptions!$B$4</f>
        <v>0.00239620157894737</v>
      </c>
      <c r="H8" s="14" t="n">
        <f aca="false">'Upstream openLCA'!H7/Assumptions!$B$4</f>
        <v>0.00204736</v>
      </c>
    </row>
    <row r="9" customFormat="false" ht="15" hidden="false" customHeight="false" outlineLevel="0" collapsed="false">
      <c r="A9" s="8" t="s">
        <v>119</v>
      </c>
      <c r="B9" s="8" t="s">
        <v>120</v>
      </c>
      <c r="C9" s="14" t="n">
        <f aca="false">'Upstream openLCA'!C8/Assumptions!$B$4</f>
        <v>4.21052631578947E-007</v>
      </c>
      <c r="D9" s="14" t="n">
        <f aca="false">'Upstream openLCA'!D8/Assumptions!$B$4</f>
        <v>3.15789473684211E-007</v>
      </c>
      <c r="E9" s="14" t="n">
        <f aca="false">'Upstream openLCA'!E8/Assumptions!$B$4</f>
        <v>2.10526315789474E-007</v>
      </c>
      <c r="F9" s="14" t="n">
        <f aca="false">'Upstream openLCA'!F8/Assumptions!$B$4</f>
        <v>3.15789473684211E-007</v>
      </c>
      <c r="G9" s="14" t="n">
        <f aca="false">'Upstream openLCA'!G8/Assumptions!$B$4</f>
        <v>2.10526315789474E-007</v>
      </c>
      <c r="H9" s="14" t="n">
        <f aca="false">'Upstream openLCA'!H8/Assumptions!$B$4</f>
        <v>1.09984E-007</v>
      </c>
    </row>
    <row r="10" customFormat="false" ht="15" hidden="false" customHeight="false" outlineLevel="0" collapsed="false">
      <c r="A10" s="8" t="s">
        <v>121</v>
      </c>
      <c r="B10" s="8" t="s">
        <v>120</v>
      </c>
      <c r="C10" s="14" t="n">
        <f aca="false">'Upstream openLCA'!C9/Assumptions!$B$4</f>
        <v>4.15789473684211E-007</v>
      </c>
      <c r="D10" s="14" t="n">
        <f aca="false">'Upstream openLCA'!D9/Assumptions!$B$4</f>
        <v>3.10526315789474E-007</v>
      </c>
      <c r="E10" s="14" t="n">
        <f aca="false">'Upstream openLCA'!E9/Assumptions!$B$4</f>
        <v>2.05263157894737E-007</v>
      </c>
      <c r="F10" s="14" t="n">
        <f aca="false">'Upstream openLCA'!F9/Assumptions!$B$4</f>
        <v>3.10526315789474E-007</v>
      </c>
      <c r="G10" s="14" t="n">
        <f aca="false">'Upstream openLCA'!G9/Assumptions!$B$4</f>
        <v>2.05263157894737E-007</v>
      </c>
      <c r="H10" s="14" t="n">
        <f aca="false">'Upstream openLCA'!H9/Assumptions!$B$4</f>
        <v>2.8448E-007</v>
      </c>
    </row>
    <row r="11" customFormat="false" ht="15" hidden="false" customHeight="false" outlineLevel="0" collapsed="false">
      <c r="A11" s="8" t="s">
        <v>122</v>
      </c>
      <c r="B11" s="8" t="s">
        <v>123</v>
      </c>
      <c r="C11" s="14" t="n">
        <f aca="false">'Upstream openLCA'!C10/Assumptions!$B$4</f>
        <v>2.10979473684211E-008</v>
      </c>
      <c r="D11" s="14" t="n">
        <f aca="false">'Upstream openLCA'!D10/Assumptions!$B$4</f>
        <v>1.58234210526316E-008</v>
      </c>
      <c r="E11" s="14" t="n">
        <f aca="false">'Upstream openLCA'!E10/Assumptions!$B$4</f>
        <v>1.05489473684211E-008</v>
      </c>
      <c r="F11" s="14" t="n">
        <f aca="false">'Upstream openLCA'!F10/Assumptions!$B$4</f>
        <v>1.60171105263158E-008</v>
      </c>
      <c r="G11" s="14" t="n">
        <f aca="false">'Upstream openLCA'!G10/Assumptions!$B$4</f>
        <v>1.09363263157895E-008</v>
      </c>
      <c r="H11" s="14" t="n">
        <f aca="false">'Upstream openLCA'!H10/Assumptions!$B$4</f>
        <v>1.8032E-008</v>
      </c>
    </row>
    <row r="12" customFormat="false" ht="15" hidden="false" customHeight="false" outlineLevel="0" collapsed="false">
      <c r="A12" s="8" t="s">
        <v>124</v>
      </c>
      <c r="B12" s="8" t="s">
        <v>125</v>
      </c>
      <c r="C12" s="14" t="n">
        <f aca="false">'Upstream openLCA'!C11/Assumptions!$B$4</f>
        <v>0.00125045789473684</v>
      </c>
      <c r="D12" s="14" t="n">
        <f aca="false">'Upstream openLCA'!D11/Assumptions!$B$4</f>
        <v>0.000937842105263158</v>
      </c>
      <c r="E12" s="14" t="n">
        <f aca="false">'Upstream openLCA'!E11/Assumptions!$B$4</f>
        <v>0.000625231578947368</v>
      </c>
      <c r="F12" s="14" t="n">
        <f aca="false">'Upstream openLCA'!F11/Assumptions!$B$4</f>
        <v>0.000945545789473684</v>
      </c>
      <c r="G12" s="14" t="n">
        <f aca="false">'Upstream openLCA'!G11/Assumptions!$B$4</f>
        <v>0.000640639473684211</v>
      </c>
      <c r="H12" s="14" t="n">
        <f aca="false">'Upstream openLCA'!H11/Assumptions!$B$4</f>
        <v>0.00064064</v>
      </c>
    </row>
    <row r="13" customFormat="false" ht="15" hidden="false" customHeight="false" outlineLevel="0" collapsed="false">
      <c r="A13" s="8" t="s">
        <v>126</v>
      </c>
      <c r="B13" s="8" t="s">
        <v>127</v>
      </c>
      <c r="C13" s="14" t="n">
        <f aca="false">'Upstream openLCA'!C12/Assumptions!$B$4</f>
        <v>0.0940092105263158</v>
      </c>
      <c r="D13" s="14" t="n">
        <f aca="false">'Upstream openLCA'!D12/Assumptions!$B$4</f>
        <v>0.0705069105263158</v>
      </c>
      <c r="E13" s="14" t="n">
        <f aca="false">'Upstream openLCA'!E12/Assumptions!$B$4</f>
        <v>0.0470046052631579</v>
      </c>
      <c r="F13" s="14" t="n">
        <f aca="false">'Upstream openLCA'!F12/Assumptions!$B$4</f>
        <v>0.0720508331578947</v>
      </c>
      <c r="G13" s="14" t="n">
        <f aca="false">'Upstream openLCA'!G12/Assumptions!$B$4</f>
        <v>0.0500924505263158</v>
      </c>
      <c r="H13" s="14" t="n">
        <f aca="false">'Upstream openLCA'!H12/Assumptions!$B$4</f>
        <v>0.140448</v>
      </c>
    </row>
    <row r="15" customFormat="false" ht="15" hidden="false" customHeight="false" outlineLevel="0" collapsed="false">
      <c r="A15" s="2" t="s">
        <v>133</v>
      </c>
    </row>
    <row r="16" customFormat="false" ht="26.85" hidden="false" customHeight="false" outlineLevel="0" collapsed="false">
      <c r="A16" s="7" t="s">
        <v>109</v>
      </c>
      <c r="B16" s="7" t="s">
        <v>26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90</v>
      </c>
      <c r="H16" s="7" t="s">
        <v>91</v>
      </c>
    </row>
    <row r="17" customFormat="false" ht="15" hidden="false" customHeight="false" outlineLevel="0" collapsed="false">
      <c r="A17" s="8" t="s">
        <v>111</v>
      </c>
      <c r="B17" s="8" t="s">
        <v>112</v>
      </c>
      <c r="C17" s="14" t="n">
        <f aca="false">'Direct Emissions'!D4*1.880158</f>
        <v>0.042832044851904</v>
      </c>
      <c r="D17" s="14" t="n">
        <f aca="false">'Direct Emissions'!D5*1.880158</f>
        <v>0.032124033638928</v>
      </c>
      <c r="E17" s="14" t="n">
        <f aca="false">'Direct Emissions'!D6*1.880158</f>
        <v>0.021416022425952</v>
      </c>
      <c r="F17" s="14" t="n">
        <f aca="false">'Direct Emissions'!D7*1.880158</f>
        <v>0.073007897310789</v>
      </c>
      <c r="G17" s="14" t="n">
        <f aca="false">'Direct Emissions'!D8*1.880158</f>
        <v>0.103183749769674</v>
      </c>
      <c r="H17" s="14" t="n">
        <f aca="false">'Direct Emissions'!D9*1.880158</f>
        <v>0</v>
      </c>
    </row>
    <row r="18" customFormat="false" ht="15" hidden="false" customHeight="false" outlineLevel="0" collapsed="false">
      <c r="A18" s="8" t="s">
        <v>113</v>
      </c>
      <c r="B18" s="8" t="s">
        <v>114</v>
      </c>
      <c r="C18" s="14" t="n">
        <f aca="false">'Direct Emissions'!J4</f>
        <v>1.611732494592</v>
      </c>
      <c r="D18" s="14" t="n">
        <f aca="false">'Direct Emissions'!J5</f>
        <v>1.208799370944</v>
      </c>
      <c r="E18" s="14" t="n">
        <f aca="false">'Direct Emissions'!J6</f>
        <v>0.805866247296</v>
      </c>
      <c r="F18" s="14" t="n">
        <f aca="false">'Direct Emissions'!J7</f>
        <v>2.0705463182947</v>
      </c>
      <c r="G18" s="14" t="n">
        <f aca="false">'Direct Emissions'!J8</f>
        <v>2.52936014199741</v>
      </c>
      <c r="H18" s="14" t="n">
        <f aca="false">'Direct Emissions'!J9</f>
        <v>0</v>
      </c>
    </row>
    <row r="19" customFormat="false" ht="15" hidden="false" customHeight="false" outlineLevel="0" collapsed="false">
      <c r="A19" s="8" t="s">
        <v>115</v>
      </c>
      <c r="B19" s="8" t="s">
        <v>116</v>
      </c>
      <c r="C19" s="14" t="n">
        <f aca="false">'Direct Emissions'!E4*0.00689579</f>
        <v>0.00125002820878848</v>
      </c>
      <c r="D19" s="14" t="n">
        <f aca="false">'Direct Emissions'!E5*0.00689579</f>
        <v>0.00093752115659136</v>
      </c>
      <c r="E19" s="14" t="n">
        <f aca="false">'Direct Emissions'!E6*0.00689579</f>
        <v>0.00062501410439424</v>
      </c>
      <c r="F19" s="14" t="n">
        <f aca="false">'Direct Emissions'!E7*0.00689579</f>
        <v>0.00156251584562975</v>
      </c>
      <c r="G19" s="14" t="n">
        <f aca="false">'Direct Emissions'!E8*0.00689579</f>
        <v>0.00187500348247102</v>
      </c>
      <c r="H19" s="14" t="n">
        <f aca="false">'Direct Emissions'!E9*0.00689579</f>
        <v>0</v>
      </c>
    </row>
    <row r="20" customFormat="false" ht="15" hidden="false" customHeight="false" outlineLevel="0" collapsed="false">
      <c r="A20" s="8" t="s">
        <v>117</v>
      </c>
      <c r="B20" s="8" t="s">
        <v>118</v>
      </c>
      <c r="C20" s="14" t="n">
        <f aca="false">'Direct Emissions'!E4*0.251614</f>
        <v>0.045611104416768</v>
      </c>
      <c r="D20" s="14" t="n">
        <f aca="false">'Direct Emissions'!E5*0.251614</f>
        <v>0.034208328312576</v>
      </c>
      <c r="E20" s="14" t="n">
        <f aca="false">'Direct Emissions'!E6*0.251614</f>
        <v>0.022805552208384</v>
      </c>
      <c r="F20" s="14" t="n">
        <f aca="false">'Direct Emissions'!E7*0.251614</f>
        <v>0.0570131720922888</v>
      </c>
      <c r="G20" s="14" t="n">
        <f aca="false">'Direct Emissions'!E8*0.251614</f>
        <v>0.0684152397678096</v>
      </c>
      <c r="H20" s="14" t="n">
        <f aca="false">'Direct Emissions'!E9*0.251614</f>
        <v>0</v>
      </c>
    </row>
    <row r="21" customFormat="false" ht="15" hidden="false" customHeight="false" outlineLevel="0" collapsed="false">
      <c r="A21" s="8" t="s">
        <v>119</v>
      </c>
      <c r="B21" s="8" t="s">
        <v>120</v>
      </c>
      <c r="C21" s="14" t="n">
        <f aca="false">0</f>
        <v>0</v>
      </c>
      <c r="D21" s="14" t="n">
        <f aca="false">0</f>
        <v>0</v>
      </c>
      <c r="E21" s="14" t="n">
        <f aca="false">0</f>
        <v>0</v>
      </c>
      <c r="F21" s="14" t="n">
        <f aca="false">0</f>
        <v>0</v>
      </c>
      <c r="G21" s="14" t="n">
        <f aca="false">0</f>
        <v>0</v>
      </c>
      <c r="H21" s="14" t="n">
        <f aca="false">0</f>
        <v>0</v>
      </c>
    </row>
    <row r="22" customFormat="false" ht="15" hidden="false" customHeight="false" outlineLevel="0" collapsed="false">
      <c r="A22" s="8" t="s">
        <v>121</v>
      </c>
      <c r="B22" s="8" t="s">
        <v>120</v>
      </c>
      <c r="C22" s="14" t="n">
        <f aca="false">0</f>
        <v>0</v>
      </c>
      <c r="D22" s="14" t="n">
        <f aca="false">0</f>
        <v>0</v>
      </c>
      <c r="E22" s="14" t="n">
        <f aca="false">0</f>
        <v>0</v>
      </c>
      <c r="F22" s="14" t="n">
        <f aca="false">0</f>
        <v>0</v>
      </c>
      <c r="G22" s="14" t="n">
        <f aca="false">0</f>
        <v>0</v>
      </c>
      <c r="H22" s="14" t="n">
        <f aca="false">0</f>
        <v>0</v>
      </c>
    </row>
    <row r="23" customFormat="false" ht="15" hidden="false" customHeight="false" outlineLevel="0" collapsed="false">
      <c r="A23" s="8" t="s">
        <v>122</v>
      </c>
      <c r="B23" s="8" t="s">
        <v>123</v>
      </c>
      <c r="C23" s="14" t="n">
        <f aca="false">0</f>
        <v>0</v>
      </c>
      <c r="D23" s="14" t="n">
        <f aca="false">0</f>
        <v>0</v>
      </c>
      <c r="E23" s="14" t="n">
        <f aca="false">0</f>
        <v>0</v>
      </c>
      <c r="F23" s="14" t="n">
        <f aca="false">0</f>
        <v>0</v>
      </c>
      <c r="G23" s="14" t="n">
        <f aca="false">0</f>
        <v>0</v>
      </c>
      <c r="H23" s="14" t="n">
        <f aca="false">0</f>
        <v>0</v>
      </c>
    </row>
    <row r="24" customFormat="false" ht="15" hidden="false" customHeight="false" outlineLevel="0" collapsed="false">
      <c r="A24" s="8" t="s">
        <v>124</v>
      </c>
      <c r="B24" s="8" t="s">
        <v>125</v>
      </c>
      <c r="C24" s="14" t="n">
        <f aca="false">'Direct Emissions'!D4*0.0667252</f>
        <v>0.0015200726530176</v>
      </c>
      <c r="D24" s="14" t="n">
        <f aca="false">'Direct Emissions'!D5*0.0667252</f>
        <v>0.0011400544897632</v>
      </c>
      <c r="E24" s="14" t="n">
        <f aca="false">'Direct Emissions'!D6*0.0667252</f>
        <v>0.0007600363265088</v>
      </c>
      <c r="F24" s="14" t="n">
        <f aca="false">'Direct Emissions'!D7*0.0667252</f>
        <v>0.00259098785827673</v>
      </c>
      <c r="G24" s="14" t="n">
        <f aca="false">'Direct Emissions'!D8*0.0667252</f>
        <v>0.00366190306353586</v>
      </c>
      <c r="H24" s="14" t="n">
        <f aca="false">'Direct Emissions'!D9*0.0667252</f>
        <v>0</v>
      </c>
    </row>
    <row r="25" customFormat="false" ht="15" hidden="false" customHeight="false" outlineLevel="0" collapsed="false">
      <c r="A25" s="8" t="s">
        <v>126</v>
      </c>
      <c r="B25" s="8" t="s">
        <v>127</v>
      </c>
      <c r="C25" s="14" t="n">
        <f aca="false">0</f>
        <v>0</v>
      </c>
      <c r="D25" s="14" t="n">
        <f aca="false">0</f>
        <v>0</v>
      </c>
      <c r="E25" s="14" t="n">
        <f aca="false">0</f>
        <v>0</v>
      </c>
      <c r="F25" s="14" t="n">
        <f aca="false">0</f>
        <v>0</v>
      </c>
      <c r="G25" s="14" t="n">
        <f aca="false">0</f>
        <v>0</v>
      </c>
      <c r="H25" s="14" t="n">
        <f aca="false">0</f>
        <v>0</v>
      </c>
    </row>
    <row r="27" customFormat="false" ht="15" hidden="false" customHeight="false" outlineLevel="0" collapsed="false">
      <c r="A27" s="2" t="s">
        <v>134</v>
      </c>
    </row>
    <row r="28" customFormat="false" ht="26.85" hidden="false" customHeight="false" outlineLevel="0" collapsed="false">
      <c r="A28" s="7" t="s">
        <v>109</v>
      </c>
      <c r="B28" s="7" t="s">
        <v>26</v>
      </c>
      <c r="C28" s="7" t="s">
        <v>86</v>
      </c>
      <c r="D28" s="7" t="s">
        <v>87</v>
      </c>
      <c r="E28" s="7" t="s">
        <v>88</v>
      </c>
      <c r="F28" s="7" t="s">
        <v>89</v>
      </c>
      <c r="G28" s="7" t="s">
        <v>90</v>
      </c>
      <c r="H28" s="7" t="s">
        <v>91</v>
      </c>
    </row>
    <row r="29" customFormat="false" ht="15" hidden="false" customHeight="false" outlineLevel="0" collapsed="false">
      <c r="A29" s="8" t="s">
        <v>111</v>
      </c>
      <c r="B29" s="8" t="s">
        <v>112</v>
      </c>
      <c r="C29" s="13" t="n">
        <f aca="false">C5+C17</f>
        <v>0.0511957395887461</v>
      </c>
      <c r="D29" s="13" t="n">
        <f aca="false">D5+D17</f>
        <v>0.0383968020599806</v>
      </c>
      <c r="E29" s="13" t="n">
        <f aca="false">E5+E17</f>
        <v>0.0255978697943731</v>
      </c>
      <c r="F29" s="13" t="n">
        <f aca="false">F5+F17</f>
        <v>0.0793360136265785</v>
      </c>
      <c r="G29" s="13" t="n">
        <f aca="false">G5+G17</f>
        <v>0.107476292927569</v>
      </c>
      <c r="H29" s="13" t="n">
        <f aca="false">H5+H17</f>
        <v>0.0048384</v>
      </c>
    </row>
    <row r="30" customFormat="false" ht="15" hidden="false" customHeight="false" outlineLevel="0" collapsed="false">
      <c r="A30" s="8" t="s">
        <v>113</v>
      </c>
      <c r="B30" s="8" t="s">
        <v>114</v>
      </c>
      <c r="C30" s="13" t="n">
        <f aca="false">C6+C18</f>
        <v>3.51326458932884</v>
      </c>
      <c r="D30" s="13" t="n">
        <f aca="false">D6+D18</f>
        <v>2.63494843936505</v>
      </c>
      <c r="E30" s="13" t="n">
        <f aca="false">E6+E18</f>
        <v>1.75663229466442</v>
      </c>
      <c r="F30" s="13" t="n">
        <f aca="false">F6+F18</f>
        <v>3.50817018987365</v>
      </c>
      <c r="G30" s="13" t="n">
        <f aca="false">G6+G18</f>
        <v>3.50307579620794</v>
      </c>
      <c r="H30" s="13" t="n">
        <f aca="false">H6+H18</f>
        <v>1.1648</v>
      </c>
    </row>
    <row r="31" customFormat="false" ht="15" hidden="false" customHeight="false" outlineLevel="0" collapsed="false">
      <c r="A31" s="8" t="s">
        <v>115</v>
      </c>
      <c r="B31" s="8" t="s">
        <v>116</v>
      </c>
      <c r="C31" s="13" t="n">
        <f aca="false">C7+C19</f>
        <v>31.6367237124193</v>
      </c>
      <c r="D31" s="13" t="n">
        <f aca="false">D7+D19</f>
        <v>23.727516468525</v>
      </c>
      <c r="E31" s="13" t="n">
        <f aca="false">E7+E19</f>
        <v>15.8183618562097</v>
      </c>
      <c r="F31" s="13" t="n">
        <f aca="false">F7+F19</f>
        <v>23.8841318895298</v>
      </c>
      <c r="G31" s="13" t="n">
        <f aca="false">G7+G19</f>
        <v>16.1315926982193</v>
      </c>
      <c r="H31" s="13" t="n">
        <f aca="false">H7+H19</f>
        <v>10.7296</v>
      </c>
    </row>
    <row r="32" customFormat="false" ht="15" hidden="false" customHeight="false" outlineLevel="0" collapsed="false">
      <c r="A32" s="8" t="s">
        <v>117</v>
      </c>
      <c r="B32" s="8" t="s">
        <v>118</v>
      </c>
      <c r="C32" s="13" t="n">
        <f aca="false">C8+C20</f>
        <v>0.050338057048347</v>
      </c>
      <c r="D32" s="13" t="n">
        <f aca="false">D8+D20</f>
        <v>0.0377535441020497</v>
      </c>
      <c r="E32" s="13" t="n">
        <f aca="false">E8+E20</f>
        <v>0.0251690258925945</v>
      </c>
      <c r="F32" s="13" t="n">
        <f aca="false">F8+F20</f>
        <v>0.0605747520922888</v>
      </c>
      <c r="G32" s="13" t="n">
        <f aca="false">G8+G20</f>
        <v>0.070811441346757</v>
      </c>
      <c r="H32" s="13" t="n">
        <f aca="false">H8+H20</f>
        <v>0.00204736</v>
      </c>
    </row>
    <row r="33" customFormat="false" ht="15" hidden="false" customHeight="false" outlineLevel="0" collapsed="false">
      <c r="A33" s="8" t="s">
        <v>119</v>
      </c>
      <c r="B33" s="8" t="s">
        <v>120</v>
      </c>
      <c r="C33" s="13" t="n">
        <f aca="false">C9+C21</f>
        <v>4.21052631578947E-007</v>
      </c>
      <c r="D33" s="13" t="n">
        <f aca="false">D9+D21</f>
        <v>3.15789473684211E-007</v>
      </c>
      <c r="E33" s="13" t="n">
        <f aca="false">E9+E21</f>
        <v>2.10526315789474E-007</v>
      </c>
      <c r="F33" s="13" t="n">
        <f aca="false">F9+F21</f>
        <v>3.15789473684211E-007</v>
      </c>
      <c r="G33" s="13" t="n">
        <f aca="false">G9+G21</f>
        <v>2.10526315789474E-007</v>
      </c>
      <c r="H33" s="13" t="n">
        <f aca="false">H9+H21</f>
        <v>1.09984E-007</v>
      </c>
    </row>
    <row r="34" customFormat="false" ht="15" hidden="false" customHeight="false" outlineLevel="0" collapsed="false">
      <c r="A34" s="8" t="s">
        <v>121</v>
      </c>
      <c r="B34" s="8" t="s">
        <v>120</v>
      </c>
      <c r="C34" s="13" t="n">
        <f aca="false">C10+C22</f>
        <v>4.15789473684211E-007</v>
      </c>
      <c r="D34" s="13" t="n">
        <f aca="false">D10+D22</f>
        <v>3.10526315789474E-007</v>
      </c>
      <c r="E34" s="13" t="n">
        <f aca="false">E10+E22</f>
        <v>2.05263157894737E-007</v>
      </c>
      <c r="F34" s="13" t="n">
        <f aca="false">F10+F22</f>
        <v>3.10526315789474E-007</v>
      </c>
      <c r="G34" s="13" t="n">
        <f aca="false">G10+G22</f>
        <v>2.05263157894737E-007</v>
      </c>
      <c r="H34" s="13" t="n">
        <f aca="false">H10+H22</f>
        <v>2.8448E-007</v>
      </c>
    </row>
    <row r="35" customFormat="false" ht="15" hidden="false" customHeight="false" outlineLevel="0" collapsed="false">
      <c r="A35" s="8" t="s">
        <v>122</v>
      </c>
      <c r="B35" s="8" t="s">
        <v>123</v>
      </c>
      <c r="C35" s="13" t="n">
        <f aca="false">C11+C23</f>
        <v>2.10979473684211E-008</v>
      </c>
      <c r="D35" s="13" t="n">
        <f aca="false">D11+D23</f>
        <v>1.58234210526316E-008</v>
      </c>
      <c r="E35" s="13" t="n">
        <f aca="false">E11+E23</f>
        <v>1.05489473684211E-008</v>
      </c>
      <c r="F35" s="13" t="n">
        <f aca="false">F11+F23</f>
        <v>1.60171105263158E-008</v>
      </c>
      <c r="G35" s="13" t="n">
        <f aca="false">G11+G23</f>
        <v>1.09363263157895E-008</v>
      </c>
      <c r="H35" s="13" t="n">
        <f aca="false">H11+H23</f>
        <v>1.8032E-008</v>
      </c>
    </row>
    <row r="36" customFormat="false" ht="15" hidden="false" customHeight="false" outlineLevel="0" collapsed="false">
      <c r="A36" s="8" t="s">
        <v>124</v>
      </c>
      <c r="B36" s="8" t="s">
        <v>125</v>
      </c>
      <c r="C36" s="13" t="n">
        <f aca="false">C12+C24</f>
        <v>0.00277053054775444</v>
      </c>
      <c r="D36" s="13" t="n">
        <f aca="false">D12+D24</f>
        <v>0.00207789659502636</v>
      </c>
      <c r="E36" s="13" t="n">
        <f aca="false">E12+E24</f>
        <v>0.00138526790545617</v>
      </c>
      <c r="F36" s="13" t="n">
        <f aca="false">F12+F24</f>
        <v>0.00353653364775041</v>
      </c>
      <c r="G36" s="13" t="n">
        <f aca="false">G12+G24</f>
        <v>0.00430254253722007</v>
      </c>
      <c r="H36" s="13" t="n">
        <f aca="false">H12+H24</f>
        <v>0.00064064</v>
      </c>
    </row>
    <row r="37" customFormat="false" ht="15" hidden="false" customHeight="false" outlineLevel="0" collapsed="false">
      <c r="A37" s="8" t="s">
        <v>135</v>
      </c>
      <c r="B37" s="8" t="s">
        <v>127</v>
      </c>
      <c r="C37" s="13" t="n">
        <f aca="false">C13+C25</f>
        <v>0.0940092105263158</v>
      </c>
      <c r="D37" s="13" t="n">
        <f aca="false">D13+D25</f>
        <v>0.0705069105263158</v>
      </c>
      <c r="E37" s="13" t="n">
        <f aca="false">E13+E25</f>
        <v>0.0470046052631579</v>
      </c>
      <c r="F37" s="13" t="n">
        <f aca="false">F13+F25</f>
        <v>0.0720508331578947</v>
      </c>
      <c r="G37" s="13" t="n">
        <f aca="false">G13+G25</f>
        <v>0.0500924505263158</v>
      </c>
      <c r="H37" s="13" t="n">
        <f aca="false">H13+H25</f>
        <v>0.140448</v>
      </c>
    </row>
    <row r="38" customFormat="false" ht="15" hidden="false" customHeight="false" outlineLevel="0" collapsed="false">
      <c r="A38" s="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137</v>
      </c>
    </row>
    <row r="3" customFormat="false" ht="15" hidden="false" customHeight="false" outlineLevel="0" collapsed="false">
      <c r="A3" s="2" t="s">
        <v>138</v>
      </c>
    </row>
    <row r="4" customFormat="false" ht="26.85" hidden="false" customHeight="false" outlineLevel="0" collapsed="false">
      <c r="A4" s="7" t="s">
        <v>109</v>
      </c>
      <c r="B4" s="7" t="s">
        <v>26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</row>
    <row r="5" customFormat="false" ht="15" hidden="false" customHeight="false" outlineLevel="0" collapsed="false">
      <c r="A5" s="8" t="s">
        <v>111</v>
      </c>
      <c r="B5" s="8" t="s">
        <v>112</v>
      </c>
      <c r="C5" s="15" t="n">
        <f aca="false">IFERROR('Results per Tree'!C29/'Results per Tree'!$C$29,0)</f>
        <v>1</v>
      </c>
      <c r="D5" s="15" t="n">
        <f aca="false">IFERROR('Results per Tree'!D29/'Results per Tree'!$C$29,0)</f>
        <v>0.749999948597696</v>
      </c>
      <c r="E5" s="15" t="n">
        <f aca="false">IFERROR('Results per Tree'!E29/'Results per Tree'!$C$29,0)</f>
        <v>0.5</v>
      </c>
      <c r="F5" s="15" t="n">
        <f aca="false">IFERROR('Results per Tree'!F29/'Results per Tree'!$C$29,0)</f>
        <v>1.54966046518484</v>
      </c>
      <c r="G5" s="15" t="n">
        <f aca="false">IFERROR('Results per Tree'!G29/'Results per Tree'!$C$29,0)</f>
        <v>2.0993210331743</v>
      </c>
      <c r="H5" s="15" t="n">
        <f aca="false">IFERROR('Results per Tree'!H29/'Results per Tree'!$C$29,0)</f>
        <v>0.0945078641087467</v>
      </c>
    </row>
    <row r="6" customFormat="false" ht="15" hidden="false" customHeight="false" outlineLevel="0" collapsed="false">
      <c r="A6" s="8" t="s">
        <v>113</v>
      </c>
      <c r="B6" s="8" t="s">
        <v>114</v>
      </c>
      <c r="C6" s="15" t="n">
        <f aca="false">IFERROR('Results per Tree'!C30/'Results per Tree'!$C$30,0)</f>
        <v>1</v>
      </c>
      <c r="D6" s="15" t="n">
        <f aca="false">IFERROR('Results per Tree'!D30/'Results per Tree'!$C$30,0)</f>
        <v>0.749999999250959</v>
      </c>
      <c r="E6" s="15" t="n">
        <f aca="false">IFERROR('Results per Tree'!E30/'Results per Tree'!$C$30,0)</f>
        <v>0.5</v>
      </c>
      <c r="F6" s="15" t="n">
        <f aca="false">IFERROR('Results per Tree'!F30/'Results per Tree'!$C$30,0)</f>
        <v>0.998549952807237</v>
      </c>
      <c r="G6" s="15" t="n">
        <f aca="false">IFERROR('Results per Tree'!G30/'Results per Tree'!$C$30,0)</f>
        <v>0.997099907262364</v>
      </c>
      <c r="H6" s="15" t="n">
        <f aca="false">IFERROR('Results per Tree'!H30/'Results per Tree'!$C$30,0)</f>
        <v>0.331543489077923</v>
      </c>
    </row>
    <row r="7" customFormat="false" ht="15" hidden="false" customHeight="false" outlineLevel="0" collapsed="false">
      <c r="A7" s="8" t="s">
        <v>115</v>
      </c>
      <c r="B7" s="8" t="s">
        <v>116</v>
      </c>
      <c r="C7" s="15" t="n">
        <f aca="false">IFERROR('Results per Tree'!C31/'Results per Tree'!$C$31,0)</f>
        <v>1</v>
      </c>
      <c r="D7" s="15" t="n">
        <f aca="false">IFERROR('Results per Tree'!D31/'Results per Tree'!$C$31,0)</f>
        <v>0.749999168188536</v>
      </c>
      <c r="E7" s="15" t="n">
        <f aca="false">IFERROR('Results per Tree'!E31/'Results per Tree'!$C$31,0)</f>
        <v>0.5</v>
      </c>
      <c r="F7" s="15" t="n">
        <f aca="false">IFERROR('Results per Tree'!F31/'Results per Tree'!$C$31,0)</f>
        <v>0.754949599289698</v>
      </c>
      <c r="G7" s="15" t="n">
        <f aca="false">IFERROR('Results per Tree'!G31/'Results per Tree'!$C$31,0)</f>
        <v>0.509900862202324</v>
      </c>
      <c r="H7" s="15" t="n">
        <f aca="false">IFERROR('Results per Tree'!H31/'Results per Tree'!$C$31,0)</f>
        <v>0.339150162878212</v>
      </c>
    </row>
    <row r="8" customFormat="false" ht="15" hidden="false" customHeight="false" outlineLevel="0" collapsed="false">
      <c r="A8" s="8" t="s">
        <v>117</v>
      </c>
      <c r="B8" s="8" t="s">
        <v>118</v>
      </c>
      <c r="C8" s="15" t="n">
        <f aca="false">IFERROR('Results per Tree'!C32/'Results per Tree'!$C$32,0)</f>
        <v>1</v>
      </c>
      <c r="D8" s="15" t="n">
        <f aca="false">IFERROR('Results per Tree'!D32/'Results per Tree'!$C$32,0)</f>
        <v>0.750000026139059</v>
      </c>
      <c r="E8" s="15" t="n">
        <f aca="false">IFERROR('Results per Tree'!E32/'Results per Tree'!$C$32,0)</f>
        <v>0.499999947721881</v>
      </c>
      <c r="F8" s="15" t="n">
        <f aca="false">IFERROR('Results per Tree'!F32/'Results per Tree'!$C$32,0)</f>
        <v>1.20335896226805</v>
      </c>
      <c r="G8" s="15" t="n">
        <f aca="false">IFERROR('Results per Tree'!G32/'Results per Tree'!$C$32,0)</f>
        <v>1.40671780952424</v>
      </c>
      <c r="H8" s="15" t="n">
        <f aca="false">IFERROR('Results per Tree'!H32/'Results per Tree'!$C$32,0)</f>
        <v>0.0406722094584148</v>
      </c>
    </row>
    <row r="9" customFormat="false" ht="15" hidden="false" customHeight="false" outlineLevel="0" collapsed="false">
      <c r="A9" s="8" t="s">
        <v>119</v>
      </c>
      <c r="B9" s="8" t="s">
        <v>120</v>
      </c>
      <c r="C9" s="15" t="n">
        <f aca="false">IFERROR('Results per Tree'!C33/'Results per Tree'!$C$33,0)</f>
        <v>1</v>
      </c>
      <c r="D9" s="15" t="n">
        <f aca="false">IFERROR('Results per Tree'!D33/'Results per Tree'!$C$33,0)</f>
        <v>0.75</v>
      </c>
      <c r="E9" s="15" t="n">
        <f aca="false">IFERROR('Results per Tree'!E33/'Results per Tree'!$C$33,0)</f>
        <v>0.5</v>
      </c>
      <c r="F9" s="15" t="n">
        <f aca="false">IFERROR('Results per Tree'!F33/'Results per Tree'!$C$33,0)</f>
        <v>0.75</v>
      </c>
      <c r="G9" s="15" t="n">
        <f aca="false">IFERROR('Results per Tree'!G33/'Results per Tree'!$C$33,0)</f>
        <v>0.5</v>
      </c>
      <c r="H9" s="15" t="n">
        <f aca="false">IFERROR('Results per Tree'!H33/'Results per Tree'!$C$33,0)</f>
        <v>0.261212</v>
      </c>
    </row>
    <row r="10" customFormat="false" ht="15" hidden="false" customHeight="false" outlineLevel="0" collapsed="false">
      <c r="A10" s="8" t="s">
        <v>121</v>
      </c>
      <c r="B10" s="8" t="s">
        <v>120</v>
      </c>
      <c r="C10" s="15" t="n">
        <f aca="false">IFERROR('Results per Tree'!C34/'Results per Tree'!$C$34,0)</f>
        <v>1</v>
      </c>
      <c r="D10" s="15" t="n">
        <f aca="false">IFERROR('Results per Tree'!D34/'Results per Tree'!$C$34,0)</f>
        <v>0.746835443037975</v>
      </c>
      <c r="E10" s="15" t="n">
        <f aca="false">IFERROR('Results per Tree'!E34/'Results per Tree'!$C$34,0)</f>
        <v>0.493670886075949</v>
      </c>
      <c r="F10" s="15" t="n">
        <f aca="false">IFERROR('Results per Tree'!F34/'Results per Tree'!$C$34,0)</f>
        <v>0.746835443037975</v>
      </c>
      <c r="G10" s="15" t="n">
        <f aca="false">IFERROR('Results per Tree'!G34/'Results per Tree'!$C$34,0)</f>
        <v>0.493670886075949</v>
      </c>
      <c r="H10" s="15" t="n">
        <f aca="false">IFERROR('Results per Tree'!H34/'Results per Tree'!$C$34,0)</f>
        <v>0.684192405063291</v>
      </c>
    </row>
    <row r="11" customFormat="false" ht="15" hidden="false" customHeight="false" outlineLevel="0" collapsed="false">
      <c r="A11" s="8" t="s">
        <v>122</v>
      </c>
      <c r="B11" s="8" t="s">
        <v>123</v>
      </c>
      <c r="C11" s="15" t="n">
        <f aca="false">IFERROR('Results per Tree'!C35/'Results per Tree'!$C$35,0)</f>
        <v>1</v>
      </c>
      <c r="D11" s="15" t="n">
        <f aca="false">IFERROR('Results per Tree'!D35/'Results per Tree'!$C$35,0)</f>
        <v>0.749998129027269</v>
      </c>
      <c r="E11" s="15" t="n">
        <f aca="false">IFERROR('Results per Tree'!E35/'Results per Tree'!$C$35,0)</f>
        <v>0.499998752684846</v>
      </c>
      <c r="F11" s="15" t="n">
        <f aca="false">IFERROR('Results per Tree'!F35/'Results per Tree'!$C$35,0)</f>
        <v>0.759178618024702</v>
      </c>
      <c r="G11" s="15" t="n">
        <f aca="false">IFERROR('Results per Tree'!G35/'Results per Tree'!$C$35,0)</f>
        <v>0.518359730679712</v>
      </c>
      <c r="H11" s="15" t="n">
        <f aca="false">IFERROR('Results per Tree'!H35/'Results per Tree'!$C$35,0)</f>
        <v>0.854680300652845</v>
      </c>
    </row>
    <row r="12" customFormat="false" ht="15" hidden="false" customHeight="false" outlineLevel="0" collapsed="false">
      <c r="A12" s="8" t="s">
        <v>124</v>
      </c>
      <c r="B12" s="8" t="s">
        <v>125</v>
      </c>
      <c r="C12" s="15" t="n">
        <f aca="false">IFERROR('Results per Tree'!C36/'Results per Tree'!$C$36,0)</f>
        <v>1</v>
      </c>
      <c r="D12" s="15" t="n">
        <f aca="false">IFERROR('Results per Tree'!D36/'Results per Tree'!$C$36,0)</f>
        <v>0.749999525076713</v>
      </c>
      <c r="E12" s="15" t="n">
        <f aca="false">IFERROR('Results per Tree'!E36/'Results per Tree'!$C$36,0)</f>
        <v>0.500000949846573</v>
      </c>
      <c r="F12" s="15" t="n">
        <f aca="false">IFERROR('Results per Tree'!F36/'Results per Tree'!$C$36,0)</f>
        <v>1.27648245951189</v>
      </c>
      <c r="G12" s="15" t="n">
        <f aca="false">IFERROR('Results per Tree'!G36/'Results per Tree'!$C$36,0)</f>
        <v>1.55296700868624</v>
      </c>
      <c r="H12" s="15" t="n">
        <f aca="false">IFERROR('Results per Tree'!H36/'Results per Tree'!$C$36,0)</f>
        <v>0.231233689344898</v>
      </c>
    </row>
    <row r="13" customFormat="false" ht="15" hidden="false" customHeight="false" outlineLevel="0" collapsed="false">
      <c r="A13" s="8" t="s">
        <v>126</v>
      </c>
      <c r="B13" s="8" t="s">
        <v>127</v>
      </c>
      <c r="C13" s="15" t="n">
        <f aca="false">IFERROR('Results per Tree'!C37/'Results per Tree'!$C$37,0)</f>
        <v>1</v>
      </c>
      <c r="D13" s="15" t="n">
        <f aca="false">IFERROR('Results per Tree'!D37/'Results per Tree'!$C$37,0)</f>
        <v>0.750000027992778</v>
      </c>
      <c r="E13" s="15" t="n">
        <f aca="false">IFERROR('Results per Tree'!E37/'Results per Tree'!$C$37,0)</f>
        <v>0.5</v>
      </c>
      <c r="F13" s="15" t="n">
        <f aca="false">IFERROR('Results per Tree'!F37/'Results per Tree'!$C$37,0)</f>
        <v>0.766423127633071</v>
      </c>
      <c r="G13" s="15" t="n">
        <f aca="false">IFERROR('Results per Tree'!G37/'Results per Tree'!$C$37,0)</f>
        <v>0.532846199280586</v>
      </c>
      <c r="H13" s="15" t="n">
        <f aca="false">IFERROR('Results per Tree'!H37/'Results per Tree'!$C$37,0)</f>
        <v>1.49398127283161</v>
      </c>
    </row>
    <row r="15" customFormat="false" ht="15" hidden="false" customHeight="false" outlineLevel="0" collapsed="false">
      <c r="A15" s="2" t="s">
        <v>139</v>
      </c>
    </row>
    <row r="16" customFormat="false" ht="26.85" hidden="false" customHeight="false" outlineLevel="0" collapsed="false">
      <c r="A16" s="7" t="s">
        <v>109</v>
      </c>
      <c r="B16" s="7" t="s">
        <v>26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90</v>
      </c>
      <c r="H16" s="7" t="s">
        <v>91</v>
      </c>
    </row>
    <row r="17" customFormat="false" ht="15" hidden="false" customHeight="false" outlineLevel="0" collapsed="false">
      <c r="A17" s="8" t="s">
        <v>111</v>
      </c>
      <c r="B17" s="8" t="s">
        <v>112</v>
      </c>
      <c r="C17" s="15" t="n">
        <f aca="false">IFERROR('Results per Tree'!C5/'Results per Tree'!$C$5,0)</f>
        <v>1</v>
      </c>
      <c r="D17" s="15" t="n">
        <f aca="false">IFERROR('Results per Tree'!D5/'Results per Tree'!$C$5,0)</f>
        <v>0.749999685356887</v>
      </c>
      <c r="E17" s="15" t="n">
        <f aca="false">IFERROR('Results per Tree'!E5/'Results per Tree'!$C$5,0)</f>
        <v>0.5</v>
      </c>
      <c r="F17" s="15" t="n">
        <f aca="false">IFERROR('Results per Tree'!F5/'Results per Tree'!$C$5,0)</f>
        <v>0.756617322236081</v>
      </c>
      <c r="G17" s="15" t="n">
        <f aca="false">IFERROR('Results per Tree'!G5/'Results per Tree'!$C$5,0)</f>
        <v>0.513235273758387</v>
      </c>
      <c r="H17" s="15" t="n">
        <f aca="false">IFERROR('Results per Tree'!H5/'Results per Tree'!$C$5,0)</f>
        <v>0.578500310238109</v>
      </c>
    </row>
    <row r="18" customFormat="false" ht="15" hidden="false" customHeight="false" outlineLevel="0" collapsed="false">
      <c r="A18" s="8" t="s">
        <v>113</v>
      </c>
      <c r="B18" s="8" t="s">
        <v>114</v>
      </c>
      <c r="C18" s="15" t="n">
        <f aca="false">IFERROR('Results per Tree'!C6/'Results per Tree'!$C$6,0)</f>
        <v>1</v>
      </c>
      <c r="D18" s="15" t="n">
        <f aca="false">IFERROR('Results per Tree'!D6/'Results per Tree'!$C$6,0)</f>
        <v>0.749999998616075</v>
      </c>
      <c r="E18" s="15" t="n">
        <f aca="false">IFERROR('Results per Tree'!E6/'Results per Tree'!$C$6,0)</f>
        <v>0.5</v>
      </c>
      <c r="F18" s="15" t="n">
        <f aca="false">IFERROR('Results per Tree'!F6/'Results per Tree'!$C$6,0)</f>
        <v>0.756034502682377</v>
      </c>
      <c r="G18" s="15" t="n">
        <f aca="false">IFERROR('Results per Tree'!G6/'Results per Tree'!$C$6,0)</f>
        <v>0.512069008409391</v>
      </c>
      <c r="H18" s="15" t="n">
        <f aca="false">IFERROR('Results per Tree'!H6/'Results per Tree'!$C$6,0)</f>
        <v>0.612558685295922</v>
      </c>
    </row>
    <row r="19" customFormat="false" ht="15" hidden="false" customHeight="false" outlineLevel="0" collapsed="false">
      <c r="A19" s="8" t="s">
        <v>115</v>
      </c>
      <c r="B19" s="8" t="s">
        <v>116</v>
      </c>
      <c r="C19" s="15" t="n">
        <f aca="false">IFERROR('Results per Tree'!C7/'Results per Tree'!$C$7,0)</f>
        <v>1</v>
      </c>
      <c r="D19" s="15" t="n">
        <f aca="false">IFERROR('Results per Tree'!D7/'Results per Tree'!$C$7,0)</f>
        <v>0.749999168155668</v>
      </c>
      <c r="E19" s="15" t="n">
        <f aca="false">IFERROR('Results per Tree'!E7/'Results per Tree'!$C$7,0)</f>
        <v>0.5</v>
      </c>
      <c r="F19" s="15" t="n">
        <f aca="false">IFERROR('Results per Tree'!F7/'Results per Tree'!$C$7,0)</f>
        <v>0.754930038730672</v>
      </c>
      <c r="G19" s="15" t="n">
        <f aca="false">IFERROR('Results per Tree'!G7/'Results per Tree'!$C$7,0)</f>
        <v>0.509861741150008</v>
      </c>
      <c r="H19" s="15" t="n">
        <f aca="false">IFERROR('Results per Tree'!H7/'Results per Tree'!$C$7,0)</f>
        <v>0.339163563887308</v>
      </c>
    </row>
    <row r="20" customFormat="false" ht="15" hidden="false" customHeight="false" outlineLevel="0" collapsed="false">
      <c r="A20" s="8" t="s">
        <v>117</v>
      </c>
      <c r="B20" s="8" t="s">
        <v>118</v>
      </c>
      <c r="C20" s="15" t="n">
        <f aca="false">IFERROR('Results per Tree'!C8/'Results per Tree'!$C$8,0)</f>
        <v>1</v>
      </c>
      <c r="D20" s="15" t="n">
        <f aca="false">IFERROR('Results per Tree'!D8/'Results per Tree'!$C$8,0)</f>
        <v>0.750000278358929</v>
      </c>
      <c r="E20" s="15" t="n">
        <f aca="false">IFERROR('Results per Tree'!E8/'Results per Tree'!$C$8,0)</f>
        <v>0.499999443282141</v>
      </c>
      <c r="F20" s="15" t="n">
        <f aca="false">IFERROR('Results per Tree'!F8/'Results per Tree'!$C$8,0)</f>
        <v>0.753462172691653</v>
      </c>
      <c r="G20" s="15" t="n">
        <f aca="false">IFERROR('Results per Tree'!G8/'Results per Tree'!$C$8,0)</f>
        <v>0.506923120604017</v>
      </c>
      <c r="H20" s="15" t="n">
        <f aca="false">IFERROR('Results per Tree'!H8/'Results per Tree'!$C$8,0)</f>
        <v>0.433124712594406</v>
      </c>
    </row>
    <row r="21" customFormat="false" ht="15" hidden="false" customHeight="false" outlineLevel="0" collapsed="false">
      <c r="A21" s="8" t="s">
        <v>119</v>
      </c>
      <c r="B21" s="8" t="s">
        <v>120</v>
      </c>
      <c r="C21" s="15" t="n">
        <f aca="false">IFERROR('Results per Tree'!C9/'Results per Tree'!$C$9,0)</f>
        <v>1</v>
      </c>
      <c r="D21" s="15" t="n">
        <f aca="false">IFERROR('Results per Tree'!D9/'Results per Tree'!$C$9,0)</f>
        <v>0.75</v>
      </c>
      <c r="E21" s="15" t="n">
        <f aca="false">IFERROR('Results per Tree'!E9/'Results per Tree'!$C$9,0)</f>
        <v>0.5</v>
      </c>
      <c r="F21" s="15" t="n">
        <f aca="false">IFERROR('Results per Tree'!F9/'Results per Tree'!$C$9,0)</f>
        <v>0.75</v>
      </c>
      <c r="G21" s="15" t="n">
        <f aca="false">IFERROR('Results per Tree'!G9/'Results per Tree'!$C$9,0)</f>
        <v>0.5</v>
      </c>
      <c r="H21" s="15" t="n">
        <f aca="false">IFERROR('Results per Tree'!H9/'Results per Tree'!$C$9,0)</f>
        <v>0.261212</v>
      </c>
    </row>
    <row r="22" customFormat="false" ht="15" hidden="false" customHeight="false" outlineLevel="0" collapsed="false">
      <c r="A22" s="8" t="s">
        <v>121</v>
      </c>
      <c r="B22" s="8" t="s">
        <v>120</v>
      </c>
      <c r="C22" s="15" t="n">
        <f aca="false">IFERROR('Results per Tree'!C10/'Results per Tree'!$C$10,0)</f>
        <v>1</v>
      </c>
      <c r="D22" s="15" t="n">
        <f aca="false">IFERROR('Results per Tree'!D10/'Results per Tree'!$C$10,0)</f>
        <v>0.746835443037975</v>
      </c>
      <c r="E22" s="15" t="n">
        <f aca="false">IFERROR('Results per Tree'!E10/'Results per Tree'!$C$10,0)</f>
        <v>0.493670886075949</v>
      </c>
      <c r="F22" s="15" t="n">
        <f aca="false">IFERROR('Results per Tree'!F10/'Results per Tree'!$C$10,0)</f>
        <v>0.746835443037975</v>
      </c>
      <c r="G22" s="15" t="n">
        <f aca="false">IFERROR('Results per Tree'!G10/'Results per Tree'!$C$10,0)</f>
        <v>0.493670886075949</v>
      </c>
      <c r="H22" s="15" t="n">
        <f aca="false">IFERROR('Results per Tree'!H10/'Results per Tree'!$C$10,0)</f>
        <v>0.684192405063291</v>
      </c>
    </row>
    <row r="23" customFormat="false" ht="15" hidden="false" customHeight="false" outlineLevel="0" collapsed="false">
      <c r="A23" s="8" t="s">
        <v>122</v>
      </c>
      <c r="B23" s="8" t="s">
        <v>123</v>
      </c>
      <c r="C23" s="15" t="n">
        <f aca="false">IFERROR('Results per Tree'!C11/'Results per Tree'!$C$11,0)</f>
        <v>1</v>
      </c>
      <c r="D23" s="15" t="n">
        <f aca="false">IFERROR('Results per Tree'!D11/'Results per Tree'!$C$11,0)</f>
        <v>0.749998129027269</v>
      </c>
      <c r="E23" s="15" t="n">
        <f aca="false">IFERROR('Results per Tree'!E11/'Results per Tree'!$C$11,0)</f>
        <v>0.499998752684846</v>
      </c>
      <c r="F23" s="15" t="n">
        <f aca="false">IFERROR('Results per Tree'!F11/'Results per Tree'!$C$11,0)</f>
        <v>0.759178618024702</v>
      </c>
      <c r="G23" s="15" t="n">
        <f aca="false">IFERROR('Results per Tree'!G11/'Results per Tree'!$C$11,0)</f>
        <v>0.518359730679712</v>
      </c>
      <c r="H23" s="15" t="n">
        <f aca="false">IFERROR('Results per Tree'!H11/'Results per Tree'!$C$11,0)</f>
        <v>0.854680300652845</v>
      </c>
    </row>
    <row r="24" customFormat="false" ht="15" hidden="false" customHeight="false" outlineLevel="0" collapsed="false">
      <c r="A24" s="8" t="s">
        <v>124</v>
      </c>
      <c r="B24" s="8" t="s">
        <v>125</v>
      </c>
      <c r="C24" s="15" t="n">
        <f aca="false">IFERROR('Results per Tree'!C12/'Results per Tree'!$C$12,0)</f>
        <v>1</v>
      </c>
      <c r="D24" s="15" t="n">
        <f aca="false">IFERROR('Results per Tree'!D12/'Results per Tree'!$C$12,0)</f>
        <v>0.749998947753875</v>
      </c>
      <c r="E24" s="15" t="n">
        <f aca="false">IFERROR('Results per Tree'!E12/'Results per Tree'!$C$12,0)</f>
        <v>0.500002104492249</v>
      </c>
      <c r="F24" s="15" t="n">
        <f aca="false">IFERROR('Results per Tree'!F12/'Results per Tree'!$C$12,0)</f>
        <v>0.756159638364052</v>
      </c>
      <c r="G24" s="15" t="n">
        <f aca="false">IFERROR('Results per Tree'!G12/'Results per Tree'!$C$12,0)</f>
        <v>0.512323906611052</v>
      </c>
      <c r="H24" s="15" t="n">
        <f aca="false">IFERROR('Results per Tree'!H12/'Results per Tree'!$C$12,0)</f>
        <v>0.512324327509502</v>
      </c>
    </row>
    <row r="25" customFormat="false" ht="15" hidden="false" customHeight="false" outlineLevel="0" collapsed="false">
      <c r="A25" s="8" t="s">
        <v>126</v>
      </c>
      <c r="B25" s="8" t="s">
        <v>127</v>
      </c>
      <c r="C25" s="15" t="n">
        <f aca="false">IFERROR('Results per Tree'!C13/'Results per Tree'!$C$13,0)</f>
        <v>1</v>
      </c>
      <c r="D25" s="15" t="n">
        <f aca="false">IFERROR('Results per Tree'!D13/'Results per Tree'!$C$13,0)</f>
        <v>0.750000027992778</v>
      </c>
      <c r="E25" s="15" t="n">
        <f aca="false">IFERROR('Results per Tree'!E13/'Results per Tree'!$C$13,0)</f>
        <v>0.5</v>
      </c>
      <c r="F25" s="15" t="n">
        <f aca="false">IFERROR('Results per Tree'!F13/'Results per Tree'!$C$13,0)</f>
        <v>0.766423127633071</v>
      </c>
      <c r="G25" s="15" t="n">
        <f aca="false">IFERROR('Results per Tree'!G13/'Results per Tree'!$C$13,0)</f>
        <v>0.532846199280586</v>
      </c>
      <c r="H25" s="15" t="n">
        <f aca="false">IFERROR('Results per Tree'!H13/'Results per Tree'!$C$13,0)</f>
        <v>1.49398127283161</v>
      </c>
    </row>
    <row r="27" customFormat="false" ht="15" hidden="false" customHeight="false" outlineLevel="0" collapsed="false">
      <c r="A27" s="2" t="s">
        <v>140</v>
      </c>
    </row>
    <row r="28" customFormat="false" ht="26.85" hidden="false" customHeight="false" outlineLevel="0" collapsed="false">
      <c r="A28" s="7" t="s">
        <v>109</v>
      </c>
      <c r="B28" s="7" t="s">
        <v>26</v>
      </c>
      <c r="C28" s="7" t="s">
        <v>86</v>
      </c>
      <c r="D28" s="7" t="s">
        <v>87</v>
      </c>
      <c r="E28" s="7" t="s">
        <v>88</v>
      </c>
      <c r="F28" s="7" t="s">
        <v>89</v>
      </c>
      <c r="G28" s="7" t="s">
        <v>90</v>
      </c>
      <c r="H28" s="7" t="s">
        <v>91</v>
      </c>
    </row>
    <row r="29" customFormat="false" ht="15" hidden="false" customHeight="false" outlineLevel="0" collapsed="false">
      <c r="A29" s="8" t="s">
        <v>111</v>
      </c>
      <c r="B29" s="8" t="s">
        <v>112</v>
      </c>
      <c r="C29" s="15" t="n">
        <f aca="false">IFERROR('Results per Tree'!C17/'Results per Tree'!$C$17,0)</f>
        <v>1</v>
      </c>
      <c r="D29" s="15" t="n">
        <f aca="false">IFERROR('Results per Tree'!D17/'Results per Tree'!$C$17,0)</f>
        <v>0.75</v>
      </c>
      <c r="E29" s="15" t="n">
        <f aca="false">IFERROR('Results per Tree'!E17/'Results per Tree'!$C$17,0)</f>
        <v>0.5</v>
      </c>
      <c r="F29" s="15" t="n">
        <f aca="false">IFERROR('Results per Tree'!F17/'Results per Tree'!$C$17,0)</f>
        <v>1.70451580267113</v>
      </c>
      <c r="G29" s="15" t="n">
        <f aca="false">IFERROR('Results per Tree'!G17/'Results per Tree'!$C$17,0)</f>
        <v>2.40903160534226</v>
      </c>
      <c r="H29" s="15" t="n">
        <f aca="false">IFERROR('Results per Tree'!H17/'Results per Tree'!$C$17,0)</f>
        <v>0</v>
      </c>
    </row>
    <row r="30" customFormat="false" ht="15" hidden="false" customHeight="false" outlineLevel="0" collapsed="false">
      <c r="A30" s="8" t="s">
        <v>113</v>
      </c>
      <c r="B30" s="8" t="s">
        <v>114</v>
      </c>
      <c r="C30" s="15" t="n">
        <f aca="false">IFERROR('Results per Tree'!C18/'Results per Tree'!$C$18,0)</f>
        <v>1</v>
      </c>
      <c r="D30" s="15" t="n">
        <f aca="false">IFERROR('Results per Tree'!D18/'Results per Tree'!$C$18,0)</f>
        <v>0.75</v>
      </c>
      <c r="E30" s="15" t="n">
        <f aca="false">IFERROR('Results per Tree'!E18/'Results per Tree'!$C$18,0)</f>
        <v>0.5</v>
      </c>
      <c r="F30" s="15" t="n">
        <f aca="false">IFERROR('Results per Tree'!F18/'Results per Tree'!$C$18,0)</f>
        <v>1.28467120024086</v>
      </c>
      <c r="G30" s="15" t="n">
        <f aca="false">IFERROR('Results per Tree'!G18/'Results per Tree'!$C$18,0)</f>
        <v>1.56934240048173</v>
      </c>
      <c r="H30" s="15" t="n">
        <f aca="false">IFERROR('Results per Tree'!H18/'Results per Tree'!$C$18,0)</f>
        <v>0</v>
      </c>
    </row>
    <row r="31" customFormat="false" ht="15" hidden="false" customHeight="false" outlineLevel="0" collapsed="false">
      <c r="A31" s="8" t="s">
        <v>115</v>
      </c>
      <c r="B31" s="8" t="s">
        <v>116</v>
      </c>
      <c r="C31" s="15" t="n">
        <f aca="false">IFERROR('Results per Tree'!C19/'Results per Tree'!$C$19,0)</f>
        <v>1</v>
      </c>
      <c r="D31" s="15" t="n">
        <f aca="false">IFERROR('Results per Tree'!D19/'Results per Tree'!$C$19,0)</f>
        <v>0.75</v>
      </c>
      <c r="E31" s="15" t="n">
        <f aca="false">IFERROR('Results per Tree'!E19/'Results per Tree'!$C$19,0)</f>
        <v>0.5</v>
      </c>
      <c r="F31" s="15" t="n">
        <f aca="false">IFERROR('Results per Tree'!F19/'Results per Tree'!$C$19,0)</f>
        <v>1.24998446806583</v>
      </c>
      <c r="G31" s="15" t="n">
        <f aca="false">IFERROR('Results per Tree'!G19/'Results per Tree'!$C$19,0)</f>
        <v>1.49996893613166</v>
      </c>
      <c r="H31" s="15" t="n">
        <f aca="false">IFERROR('Results per Tree'!H19/'Results per Tree'!$C$19,0)</f>
        <v>0</v>
      </c>
    </row>
    <row r="32" customFormat="false" ht="15" hidden="false" customHeight="false" outlineLevel="0" collapsed="false">
      <c r="A32" s="8" t="s">
        <v>117</v>
      </c>
      <c r="B32" s="8" t="s">
        <v>118</v>
      </c>
      <c r="C32" s="15" t="n">
        <f aca="false">IFERROR('Results per Tree'!C20/'Results per Tree'!$C$20,0)</f>
        <v>1</v>
      </c>
      <c r="D32" s="15" t="n">
        <f aca="false">IFERROR('Results per Tree'!D20/'Results per Tree'!$C$20,0)</f>
        <v>0.75</v>
      </c>
      <c r="E32" s="15" t="n">
        <f aca="false">IFERROR('Results per Tree'!E20/'Results per Tree'!$C$20,0)</f>
        <v>0.5</v>
      </c>
      <c r="F32" s="15" t="n">
        <f aca="false">IFERROR('Results per Tree'!F20/'Results per Tree'!$C$20,0)</f>
        <v>1.24998446806583</v>
      </c>
      <c r="G32" s="15" t="n">
        <f aca="false">IFERROR('Results per Tree'!G20/'Results per Tree'!$C$20,0)</f>
        <v>1.49996893613166</v>
      </c>
      <c r="H32" s="15" t="n">
        <f aca="false">IFERROR('Results per Tree'!H20/'Results per Tree'!$C$20,0)</f>
        <v>0</v>
      </c>
    </row>
    <row r="33" customFormat="false" ht="15" hidden="false" customHeight="false" outlineLevel="0" collapsed="false">
      <c r="A33" s="8" t="s">
        <v>119</v>
      </c>
      <c r="B33" s="8" t="s">
        <v>120</v>
      </c>
      <c r="C33" s="15" t="n">
        <f aca="false">IFERROR('Results per Tree'!C21/'Results per Tree'!$C$21,0)</f>
        <v>0</v>
      </c>
      <c r="D33" s="15" t="n">
        <f aca="false">IFERROR('Results per Tree'!D21/'Results per Tree'!$C$21,0)</f>
        <v>0</v>
      </c>
      <c r="E33" s="15" t="n">
        <f aca="false">IFERROR('Results per Tree'!E21/'Results per Tree'!$C$21,0)</f>
        <v>0</v>
      </c>
      <c r="F33" s="15" t="n">
        <f aca="false">IFERROR('Results per Tree'!F21/'Results per Tree'!$C$21,0)</f>
        <v>0</v>
      </c>
      <c r="G33" s="15" t="n">
        <f aca="false">IFERROR('Results per Tree'!G21/'Results per Tree'!$C$21,0)</f>
        <v>0</v>
      </c>
      <c r="H33" s="15" t="n">
        <f aca="false">IFERROR('Results per Tree'!H21/'Results per Tree'!$C$21,0)</f>
        <v>0</v>
      </c>
    </row>
    <row r="34" customFormat="false" ht="15" hidden="false" customHeight="false" outlineLevel="0" collapsed="false">
      <c r="A34" s="8" t="s">
        <v>121</v>
      </c>
      <c r="B34" s="8" t="s">
        <v>120</v>
      </c>
      <c r="C34" s="15" t="n">
        <f aca="false">IFERROR('Results per Tree'!C22/'Results per Tree'!$C$22,0)</f>
        <v>0</v>
      </c>
      <c r="D34" s="15" t="n">
        <f aca="false">IFERROR('Results per Tree'!D22/'Results per Tree'!$C$22,0)</f>
        <v>0</v>
      </c>
      <c r="E34" s="15" t="n">
        <f aca="false">IFERROR('Results per Tree'!E22/'Results per Tree'!$C$22,0)</f>
        <v>0</v>
      </c>
      <c r="F34" s="15" t="n">
        <f aca="false">IFERROR('Results per Tree'!F22/'Results per Tree'!$C$22,0)</f>
        <v>0</v>
      </c>
      <c r="G34" s="15" t="n">
        <f aca="false">IFERROR('Results per Tree'!G22/'Results per Tree'!$C$22,0)</f>
        <v>0</v>
      </c>
      <c r="H34" s="15" t="n">
        <f aca="false">IFERROR('Results per Tree'!H22/'Results per Tree'!$C$22,0)</f>
        <v>0</v>
      </c>
    </row>
    <row r="35" customFormat="false" ht="15" hidden="false" customHeight="false" outlineLevel="0" collapsed="false">
      <c r="A35" s="8" t="s">
        <v>122</v>
      </c>
      <c r="B35" s="8" t="s">
        <v>123</v>
      </c>
      <c r="C35" s="15" t="n">
        <f aca="false">IFERROR('Results per Tree'!C23/'Results per Tree'!$C$23,0)</f>
        <v>0</v>
      </c>
      <c r="D35" s="15" t="n">
        <f aca="false">IFERROR('Results per Tree'!D23/'Results per Tree'!$C$23,0)</f>
        <v>0</v>
      </c>
      <c r="E35" s="15" t="n">
        <f aca="false">IFERROR('Results per Tree'!E23/'Results per Tree'!$C$23,0)</f>
        <v>0</v>
      </c>
      <c r="F35" s="15" t="n">
        <f aca="false">IFERROR('Results per Tree'!F23/'Results per Tree'!$C$23,0)</f>
        <v>0</v>
      </c>
      <c r="G35" s="15" t="n">
        <f aca="false">IFERROR('Results per Tree'!G23/'Results per Tree'!$C$23,0)</f>
        <v>0</v>
      </c>
      <c r="H35" s="15" t="n">
        <f aca="false">IFERROR('Results per Tree'!H23/'Results per Tree'!$C$23,0)</f>
        <v>0</v>
      </c>
    </row>
    <row r="36" customFormat="false" ht="15" hidden="false" customHeight="false" outlineLevel="0" collapsed="false">
      <c r="A36" s="8" t="s">
        <v>124</v>
      </c>
      <c r="B36" s="8" t="s">
        <v>125</v>
      </c>
      <c r="C36" s="15" t="n">
        <f aca="false">IFERROR('Results per Tree'!C24/'Results per Tree'!$C$24,0)</f>
        <v>1</v>
      </c>
      <c r="D36" s="15" t="n">
        <f aca="false">IFERROR('Results per Tree'!D24/'Results per Tree'!$C$24,0)</f>
        <v>0.75</v>
      </c>
      <c r="E36" s="15" t="n">
        <f aca="false">IFERROR('Results per Tree'!E24/'Results per Tree'!$C$24,0)</f>
        <v>0.5</v>
      </c>
      <c r="F36" s="15" t="n">
        <f aca="false">IFERROR('Results per Tree'!F24/'Results per Tree'!$C$24,0)</f>
        <v>1.70451580267113</v>
      </c>
      <c r="G36" s="15" t="n">
        <f aca="false">IFERROR('Results per Tree'!G24/'Results per Tree'!$C$24,0)</f>
        <v>2.40903160534226</v>
      </c>
      <c r="H36" s="15" t="n">
        <f aca="false">IFERROR('Results per Tree'!H24/'Results per Tree'!$C$24,0)</f>
        <v>0</v>
      </c>
    </row>
    <row r="37" customFormat="false" ht="15" hidden="false" customHeight="false" outlineLevel="0" collapsed="false">
      <c r="A37" s="8" t="s">
        <v>141</v>
      </c>
      <c r="B37" s="8" t="s">
        <v>127</v>
      </c>
      <c r="C37" s="15" t="n">
        <f aca="false">IFERROR('Results per Tree'!C25/'Results per Tree'!$C$25,0)</f>
        <v>0</v>
      </c>
      <c r="D37" s="15" t="n">
        <f aca="false">IFERROR('Results per Tree'!D25/'Results per Tree'!$C$25,0)</f>
        <v>0</v>
      </c>
      <c r="E37" s="15" t="n">
        <f aca="false">IFERROR('Results per Tree'!E25/'Results per Tree'!$C$25,0)</f>
        <v>0</v>
      </c>
      <c r="F37" s="15" t="n">
        <f aca="false">IFERROR('Results per Tree'!F25/'Results per Tree'!$C$25,0)</f>
        <v>0</v>
      </c>
      <c r="G37" s="15" t="n">
        <f aca="false">IFERROR('Results per Tree'!G25/'Results per Tree'!$C$25,0)</f>
        <v>0</v>
      </c>
      <c r="H37" s="15" t="n">
        <f aca="false">IFERROR('Results per Tree'!H25/'Results per Tree'!$C$25,0)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4" t="s">
        <v>143</v>
      </c>
      <c r="B3" s="4" t="s">
        <v>144</v>
      </c>
      <c r="C3" s="4" t="s">
        <v>145</v>
      </c>
      <c r="D3" s="4" t="s">
        <v>146</v>
      </c>
      <c r="E3" s="4" t="s">
        <v>147</v>
      </c>
      <c r="F3" s="4" t="s">
        <v>148</v>
      </c>
    </row>
    <row r="4" customFormat="false" ht="23.85" hidden="false" customHeight="false" outlineLevel="0" collapsed="false">
      <c r="A4" s="16" t="s">
        <v>149</v>
      </c>
      <c r="B4" s="16" t="s">
        <v>150</v>
      </c>
      <c r="C4" s="16"/>
      <c r="D4" s="16"/>
      <c r="E4" s="16"/>
      <c r="F4" s="16" t="s">
        <v>151</v>
      </c>
    </row>
    <row r="5" customFormat="false" ht="23.85" hidden="false" customHeight="false" outlineLevel="0" collapsed="false">
      <c r="A5" s="16" t="s">
        <v>152</v>
      </c>
      <c r="B5" s="16" t="s">
        <v>153</v>
      </c>
      <c r="C5" s="16"/>
      <c r="D5" s="16" t="s">
        <v>154</v>
      </c>
      <c r="E5" s="16"/>
      <c r="F5" s="16" t="s">
        <v>155</v>
      </c>
    </row>
    <row r="6" customFormat="false" ht="23.85" hidden="false" customHeight="false" outlineLevel="0" collapsed="false">
      <c r="A6" s="16" t="s">
        <v>156</v>
      </c>
      <c r="B6" s="16" t="s">
        <v>157</v>
      </c>
      <c r="C6" s="16" t="s">
        <v>158</v>
      </c>
      <c r="D6" s="16" t="s">
        <v>154</v>
      </c>
      <c r="E6" s="16" t="s">
        <v>159</v>
      </c>
      <c r="F6" s="16" t="s">
        <v>160</v>
      </c>
    </row>
    <row r="7" customFormat="false" ht="15" hidden="false" customHeight="false" outlineLevel="0" collapsed="false">
      <c r="A7" s="16" t="s">
        <v>161</v>
      </c>
      <c r="B7" s="16" t="s">
        <v>162</v>
      </c>
      <c r="C7" s="16"/>
      <c r="D7" s="16"/>
      <c r="E7" s="16"/>
      <c r="F7" s="16" t="s">
        <v>163</v>
      </c>
    </row>
    <row r="8" customFormat="false" ht="23.85" hidden="false" customHeight="false" outlineLevel="0" collapsed="false">
      <c r="A8" s="16" t="s">
        <v>164</v>
      </c>
      <c r="B8" s="16" t="s">
        <v>165</v>
      </c>
      <c r="C8" s="16"/>
      <c r="D8" s="16"/>
      <c r="E8" s="16"/>
      <c r="F8" s="16" t="s">
        <v>166</v>
      </c>
    </row>
    <row r="11" customFormat="false" ht="57.45" hidden="false" customHeight="false" outlineLevel="0" collapsed="false">
      <c r="A11" s="3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168</v>
      </c>
    </row>
    <row r="3" customFormat="false" ht="15" hidden="false" customHeight="false" outlineLevel="0" collapsed="false">
      <c r="A3" s="4" t="s">
        <v>169</v>
      </c>
      <c r="B3" s="4" t="s">
        <v>170</v>
      </c>
      <c r="C3" s="4" t="s">
        <v>171</v>
      </c>
    </row>
    <row r="4" customFormat="false" ht="23.85" hidden="false" customHeight="false" outlineLevel="0" collapsed="false">
      <c r="A4" s="16" t="s">
        <v>172</v>
      </c>
      <c r="B4" s="16" t="s">
        <v>173</v>
      </c>
      <c r="C4" s="16" t="s">
        <v>174</v>
      </c>
    </row>
    <row r="5" customFormat="false" ht="15" hidden="false" customHeight="false" outlineLevel="0" collapsed="false">
      <c r="A5" s="16" t="s">
        <v>175</v>
      </c>
      <c r="B5" s="16" t="s">
        <v>176</v>
      </c>
      <c r="C5" s="16" t="s">
        <v>177</v>
      </c>
    </row>
    <row r="6" customFormat="false" ht="15" hidden="false" customHeight="false" outlineLevel="0" collapsed="false">
      <c r="A6" s="16" t="s">
        <v>178</v>
      </c>
      <c r="B6" s="16" t="s">
        <v>179</v>
      </c>
      <c r="C6" s="16" t="s">
        <v>180</v>
      </c>
    </row>
    <row r="7" customFormat="false" ht="15" hidden="false" customHeight="false" outlineLevel="0" collapsed="false">
      <c r="A7" s="16" t="s">
        <v>181</v>
      </c>
      <c r="B7" s="16" t="s">
        <v>182</v>
      </c>
      <c r="C7" s="16" t="s">
        <v>183</v>
      </c>
    </row>
    <row r="8" customFormat="false" ht="15" hidden="false" customHeight="false" outlineLevel="0" collapsed="false">
      <c r="A8" s="16" t="s">
        <v>184</v>
      </c>
      <c r="B8" s="16" t="s">
        <v>185</v>
      </c>
      <c r="C8" s="16" t="s">
        <v>186</v>
      </c>
    </row>
    <row r="9" customFormat="false" ht="15" hidden="false" customHeight="false" outlineLevel="0" collapsed="false">
      <c r="A9" s="16" t="s">
        <v>187</v>
      </c>
      <c r="B9" s="16" t="s">
        <v>188</v>
      </c>
      <c r="C9" s="16" t="s">
        <v>189</v>
      </c>
    </row>
    <row r="10" customFormat="false" ht="15" hidden="false" customHeight="false" outlineLevel="0" collapsed="false">
      <c r="A10" s="16" t="s">
        <v>190</v>
      </c>
      <c r="B10" s="16" t="s">
        <v>191</v>
      </c>
      <c r="C10" s="16" t="s">
        <v>192</v>
      </c>
    </row>
    <row r="11" customFormat="false" ht="15" hidden="false" customHeight="false" outlineLevel="0" collapsed="false">
      <c r="A11" s="16" t="s">
        <v>193</v>
      </c>
      <c r="B11" s="16" t="s">
        <v>194</v>
      </c>
      <c r="C11" s="16" t="s">
        <v>195</v>
      </c>
    </row>
    <row r="12" customFormat="false" ht="15" hidden="false" customHeight="false" outlineLevel="0" collapsed="false">
      <c r="A12" s="16" t="s">
        <v>196</v>
      </c>
      <c r="B12" s="16" t="s">
        <v>197</v>
      </c>
      <c r="C12" s="16" t="s">
        <v>198</v>
      </c>
    </row>
    <row r="13" customFormat="false" ht="15" hidden="false" customHeight="false" outlineLevel="0" collapsed="false">
      <c r="A13" s="16" t="s">
        <v>199</v>
      </c>
      <c r="B13" s="16" t="s">
        <v>200</v>
      </c>
      <c r="C13" s="16" t="s">
        <v>201</v>
      </c>
    </row>
    <row r="14" customFormat="false" ht="15" hidden="false" customHeight="false" outlineLevel="0" collapsed="false">
      <c r="A14" s="16" t="s">
        <v>202</v>
      </c>
      <c r="B14" s="16" t="s">
        <v>203</v>
      </c>
      <c r="C14" s="16" t="s">
        <v>204</v>
      </c>
    </row>
    <row r="15" customFormat="false" ht="23.85" hidden="false" customHeight="false" outlineLevel="0" collapsed="false">
      <c r="A15" s="16" t="s">
        <v>205</v>
      </c>
      <c r="B15" s="16" t="s">
        <v>206</v>
      </c>
      <c r="C15" s="16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208</v>
      </c>
    </row>
    <row r="3" customFormat="false" ht="15" hidden="false" customHeight="false" outlineLevel="0" collapsed="false">
      <c r="A3" s="4" t="s">
        <v>209</v>
      </c>
      <c r="B3" s="4" t="s">
        <v>210</v>
      </c>
      <c r="C3" s="4" t="s">
        <v>211</v>
      </c>
    </row>
    <row r="4" customFormat="false" ht="23.85" hidden="false" customHeight="false" outlineLevel="0" collapsed="false">
      <c r="A4" s="8" t="n">
        <v>1</v>
      </c>
      <c r="B4" s="16" t="s">
        <v>212</v>
      </c>
      <c r="C4" s="16" t="s">
        <v>213</v>
      </c>
    </row>
    <row r="5" customFormat="false" ht="15" hidden="false" customHeight="false" outlineLevel="0" collapsed="false">
      <c r="A5" s="8" t="n">
        <v>2</v>
      </c>
      <c r="B5" s="16" t="s">
        <v>214</v>
      </c>
      <c r="C5" s="16" t="s">
        <v>215</v>
      </c>
    </row>
    <row r="6" customFormat="false" ht="15" hidden="false" customHeight="false" outlineLevel="0" collapsed="false">
      <c r="A6" s="8" t="n">
        <v>3</v>
      </c>
      <c r="B6" s="16" t="s">
        <v>216</v>
      </c>
      <c r="C6" s="16" t="s">
        <v>217</v>
      </c>
    </row>
    <row r="7" customFormat="false" ht="35.05" hidden="false" customHeight="false" outlineLevel="0" collapsed="false">
      <c r="A7" s="8" t="n">
        <v>4</v>
      </c>
      <c r="B7" s="16" t="s">
        <v>218</v>
      </c>
      <c r="C7" s="16" t="s">
        <v>219</v>
      </c>
    </row>
    <row r="8" customFormat="false" ht="15" hidden="false" customHeight="false" outlineLevel="0" collapsed="false">
      <c r="A8" s="8" t="n">
        <v>5</v>
      </c>
      <c r="B8" s="16" t="s">
        <v>220</v>
      </c>
      <c r="C8" s="16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2026-09-14T18:07:23Z</dcterms:created>
  <dc:creator>openpyxl</dc:creator>
  <dc:description/>
  <dc:language>en-US</dc:language>
  <cp:lastModifiedBy/>
  <dcterms:modified xsi:type="dcterms:W3CDTF">2026-09-14T18:07:25Z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